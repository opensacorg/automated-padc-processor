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Template- Apportionment Summary" sheetId="1" state="visible" r:id="rId1"/>
    <sheet name="Map of Reconciliation" sheetId="2" state="visible" r:id="rId2"/>
    <sheet name="PADC 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9">
    <font>
      <name val="Arial"/>
      <color rgb="FF000000"/>
      <sz val="10"/>
      <scheme val="minor"/>
    </font>
    <font>
      <name val="&quot;Helvetica Neue&quot;"/>
      <b val="1"/>
      <color rgb="FFFFFFFF"/>
      <sz val="11"/>
    </font>
    <font>
      <name val="&quot;Helvetica Neue&quot;"/>
      <b val="1"/>
      <color rgb="FFFFFFFF"/>
      <sz val="9"/>
    </font>
    <font>
      <name val="&quot;Helvetica Neue&quot;"/>
      <color rgb="FF212529"/>
      <sz val="12"/>
    </font>
    <font>
      <name val="&quot;Helvetica Neue&quot;"/>
      <color rgb="FF212529"/>
      <sz val="11"/>
    </font>
    <font>
      <name val="&quot;Helvetica Neue&quot;"/>
      <b val="1"/>
      <color rgb="FFFFFFFF"/>
      <sz val="13"/>
    </font>
    <font>
      <name val="Arial"/>
      <family val="2"/>
      <color theme="1"/>
      <sz val="11"/>
    </font>
    <font>
      <name val="&quot;Helvetica Neue&quot;"/>
      <color rgb="FF212529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3F3F3"/>
      <sz val="15"/>
    </font>
    <font>
      <name val="Arial"/>
      <family val="2"/>
      <color theme="1"/>
      <sz val="10"/>
    </font>
    <font>
      <name val="Arial"/>
      <family val="2"/>
      <b val="1"/>
      <color rgb="FFFFFFFF"/>
      <sz val="15"/>
    </font>
    <font>
      <name val="Arial"/>
      <family val="2"/>
      <b val="1"/>
      <color theme="1"/>
      <sz val="10"/>
    </font>
    <font>
      <name val="Arial"/>
      <family val="2"/>
      <color rgb="FF0070C0"/>
      <sz val="10"/>
    </font>
    <font>
      <name val="Arial"/>
      <family val="2"/>
      <color rgb="FF0000FF"/>
      <sz val="10"/>
    </font>
    <font>
      <name val="Arial"/>
      <family val="2"/>
      <color rgb="FFFFFFFF"/>
      <sz val="10"/>
    </font>
    <font>
      <name val="Calibri"/>
      <family val="2"/>
      <b val="1"/>
      <color rgb="FFFFFFFF"/>
      <sz val="17"/>
      <u val="single"/>
    </font>
    <font>
      <name val="Calibri"/>
      <family val="2"/>
      <b val="1"/>
      <color rgb="FFFFFFFF"/>
      <sz val="17"/>
      <u val="single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Arial"/>
      <family val="2"/>
      <color theme="1"/>
      <sz val="10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0000FF"/>
      <sz val="10"/>
      <u val="single"/>
    </font>
    <font>
      <name val="Arial"/>
      <family val="2"/>
      <b val="1"/>
      <color rgb="FFFFFFFF"/>
      <sz val="10"/>
      <u val="single"/>
    </font>
    <font>
      <name val="Arial"/>
      <family val="2"/>
      <color rgb="FF999999"/>
      <sz val="13"/>
      <u val="single"/>
    </font>
    <font>
      <name val="Arial"/>
      <family val="2"/>
      <color theme="1"/>
      <sz val="12"/>
    </font>
    <font>
      <name val="Calibri Light"/>
      <family val="2"/>
      <color theme="1"/>
      <sz val="11"/>
    </font>
    <font>
      <name val="Arial"/>
      <family val="2"/>
      <color rgb="FF999999"/>
      <sz val="13"/>
      <u val="single"/>
    </font>
    <font>
      <name val="Arial"/>
      <family val="2"/>
      <color rgb="FF999999"/>
      <sz val="13"/>
    </font>
    <font>
      <name val="Arial"/>
      <family val="2"/>
      <b val="1"/>
      <color rgb="FFFFFFFF"/>
      <sz val="16"/>
    </font>
    <font>
      <name val="Arial"/>
      <family val="2"/>
      <color theme="0"/>
      <sz val="10"/>
      <scheme val="minor"/>
    </font>
    <font>
      <name val="Arial"/>
      <family val="2"/>
      <color theme="0"/>
      <sz val="10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b val="1"/>
      <color rgb="FFFFFFFF"/>
      <sz val="11"/>
    </font>
    <font>
      <name val="&quot;Helvetica Neue&quot;"/>
      <b val="1"/>
      <color theme="0"/>
      <sz val="10"/>
    </font>
    <font>
      <name val="Arial"/>
      <family val="2"/>
      <b val="1"/>
      <color theme="0"/>
      <sz val="10"/>
      <scheme val="minor"/>
    </font>
    <font>
      <name val="&quot;Helvetica Neue&quot;"/>
      <b val="1"/>
      <color rgb="FFFFFFFF"/>
      <sz val="10"/>
    </font>
    <font>
      <name val="&quot;Helvetica Neue&quot;"/>
      <b val="1"/>
      <color rgb="FFFFFFFF"/>
      <sz val="18"/>
    </font>
  </fonts>
  <fills count="9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wrapText="1"/>
    </xf>
    <xf numFmtId="0" fontId="4" fillId="3" borderId="0" pivotButton="0" quotePrefix="0" xfId="0"/>
    <xf numFmtId="2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7" fillId="3" borderId="0" applyAlignment="1" pivotButton="0" quotePrefix="0" xfId="0">
      <alignment wrapText="1"/>
    </xf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0" fontId="10" fillId="0" borderId="10" pivotButton="0" quotePrefix="0" xfId="0"/>
    <xf numFmtId="0" fontId="10" fillId="0" borderId="0" applyAlignment="1" pivotButton="0" quotePrefix="0" xfId="0">
      <alignment horizontal="center"/>
    </xf>
    <xf numFmtId="0" fontId="10" fillId="0" borderId="13" pivotButton="0" quotePrefix="0" xfId="0"/>
    <xf numFmtId="0" fontId="11" fillId="2" borderId="14" applyAlignment="1" pivotButton="0" quotePrefix="0" xfId="0">
      <alignment horizontal="center"/>
    </xf>
    <xf numFmtId="0" fontId="11" fillId="2" borderId="15" applyAlignment="1" pivotButton="0" quotePrefix="0" xfId="0">
      <alignment horizontal="center"/>
    </xf>
    <xf numFmtId="0" fontId="11" fillId="2" borderId="16" applyAlignment="1" pivotButton="0" quotePrefix="0" xfId="0">
      <alignment horizontal="center"/>
    </xf>
    <xf numFmtId="0" fontId="10" fillId="0" borderId="0" pivotButton="0" quotePrefix="0" xfId="0"/>
    <xf numFmtId="0" fontId="10" fillId="0" borderId="19" pivotButton="0" quotePrefix="0" xfId="0"/>
    <xf numFmtId="2" fontId="10" fillId="0" borderId="19" applyAlignment="1" pivotButton="0" quotePrefix="0" xfId="0">
      <alignment horizontal="right"/>
    </xf>
    <xf numFmtId="0" fontId="10" fillId="0" borderId="4" pivotButton="0" quotePrefix="0" xfId="0"/>
    <xf numFmtId="2" fontId="10" fillId="5" borderId="19" applyAlignment="1" pivotButton="0" quotePrefix="0" xfId="0">
      <alignment horizontal="right"/>
    </xf>
    <xf numFmtId="0" fontId="10" fillId="0" borderId="20" pivotButton="0" quotePrefix="0" xfId="0"/>
    <xf numFmtId="4" fontId="10" fillId="0" borderId="20" applyAlignment="1" pivotButton="0" quotePrefix="0" xfId="0">
      <alignment horizontal="right"/>
    </xf>
    <xf numFmtId="0" fontId="10" fillId="0" borderId="23" pivotButton="0" quotePrefix="0" xfId="0"/>
    <xf numFmtId="0" fontId="16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center"/>
    </xf>
    <xf numFmtId="0" fontId="18" fillId="0" borderId="5" applyAlignment="1" pivotButton="0" quotePrefix="0" xfId="0">
      <alignment horizontal="center"/>
    </xf>
    <xf numFmtId="0" fontId="18" fillId="0" borderId="21" applyAlignment="1" pivotButton="0" quotePrefix="0" xfId="0">
      <alignment horizontal="center" wrapText="1"/>
    </xf>
    <xf numFmtId="0" fontId="10" fillId="0" borderId="21" applyAlignment="1" pivotButton="0" quotePrefix="0" xfId="0">
      <alignment horizontal="center"/>
    </xf>
    <xf numFmtId="0" fontId="18" fillId="0" borderId="10" applyAlignment="1" pivotButton="0" quotePrefix="0" xfId="0">
      <alignment horizontal="center"/>
    </xf>
    <xf numFmtId="0" fontId="18" fillId="0" borderId="23" applyAlignment="1" pivotButton="0" quotePrefix="0" xfId="0">
      <alignment horizontal="center" wrapText="1"/>
    </xf>
    <xf numFmtId="164" fontId="10" fillId="0" borderId="23" applyAlignment="1" pivotButton="0" quotePrefix="0" xfId="0">
      <alignment horizontal="center"/>
    </xf>
    <xf numFmtId="164" fontId="10" fillId="0" borderId="17" applyAlignment="1" pivotButton="0" quotePrefix="0" xfId="0">
      <alignment horizontal="center"/>
    </xf>
    <xf numFmtId="14" fontId="10" fillId="0" borderId="17" applyAlignment="1" pivotButton="0" quotePrefix="0" xfId="0">
      <alignment horizontal="center"/>
    </xf>
    <xf numFmtId="14" fontId="10" fillId="0" borderId="23" applyAlignment="1" pivotButton="0" quotePrefix="0" xfId="0">
      <alignment horizontal="center"/>
    </xf>
    <xf numFmtId="14" fontId="10" fillId="0" borderId="0" applyAlignment="1" pivotButton="0" quotePrefix="0" xfId="0">
      <alignment horizontal="center"/>
    </xf>
    <xf numFmtId="0" fontId="10" fillId="0" borderId="30" applyAlignment="1" pivotButton="0" quotePrefix="0" xfId="0">
      <alignment horizontal="center"/>
    </xf>
    <xf numFmtId="0" fontId="10" fillId="0" borderId="15" applyAlignment="1" pivotButton="0" quotePrefix="0" xfId="0">
      <alignment horizontal="center"/>
    </xf>
    <xf numFmtId="0" fontId="10" fillId="0" borderId="13" applyAlignment="1" pivotButton="0" quotePrefix="0" xfId="0">
      <alignment horizontal="center"/>
    </xf>
    <xf numFmtId="0" fontId="10" fillId="0" borderId="15" pivotButton="0" quotePrefix="0" xfId="0"/>
    <xf numFmtId="0" fontId="19" fillId="0" borderId="23" applyAlignment="1" pivotButton="0" quotePrefix="0" xfId="0">
      <alignment horizontal="center"/>
    </xf>
    <xf numFmtId="164" fontId="10" fillId="0" borderId="22" applyAlignment="1" pivotButton="0" quotePrefix="0" xfId="0">
      <alignment horizontal="right"/>
    </xf>
    <xf numFmtId="0" fontId="10" fillId="0" borderId="23" applyAlignment="1" pivotButton="0" quotePrefix="0" xfId="0">
      <alignment horizontal="center"/>
    </xf>
    <xf numFmtId="164" fontId="10" fillId="0" borderId="17" applyAlignment="1" pivotButton="0" quotePrefix="0" xfId="0">
      <alignment horizontal="right"/>
    </xf>
    <xf numFmtId="0" fontId="10" fillId="0" borderId="17" pivotButton="0" quotePrefix="0" xfId="0"/>
    <xf numFmtId="0" fontId="19" fillId="0" borderId="21" applyAlignment="1" pivotButton="0" quotePrefix="0" xfId="0">
      <alignment horizontal="center"/>
    </xf>
    <xf numFmtId="164" fontId="10" fillId="0" borderId="0" applyAlignment="1" pivotButton="0" quotePrefix="0" xfId="0">
      <alignment horizontal="right"/>
    </xf>
    <xf numFmtId="0" fontId="18" fillId="0" borderId="14" applyAlignment="1" pivotButton="0" quotePrefix="0" xfId="0">
      <alignment horizontal="center"/>
    </xf>
    <xf numFmtId="0" fontId="19" fillId="0" borderId="14" applyAlignment="1" pivotButton="0" quotePrefix="0" xfId="0">
      <alignment horizontal="center"/>
    </xf>
    <xf numFmtId="0" fontId="19" fillId="0" borderId="30" applyAlignment="1" pivotButton="0" quotePrefix="0" xfId="0">
      <alignment horizontal="center"/>
    </xf>
    <xf numFmtId="164" fontId="10" fillId="0" borderId="15" applyAlignment="1" pivotButton="0" quotePrefix="0" xfId="0">
      <alignment horizontal="right"/>
    </xf>
    <xf numFmtId="0" fontId="10" fillId="2" borderId="0" pivotButton="0" quotePrefix="0" xfId="0"/>
    <xf numFmtId="0" fontId="20" fillId="2" borderId="0" pivotButton="0" quotePrefix="0" xfId="0"/>
    <xf numFmtId="164" fontId="10" fillId="0" borderId="23" pivotButton="0" quotePrefix="0" xfId="0"/>
    <xf numFmtId="164" fontId="10" fillId="0" borderId="17" pivotButton="0" quotePrefix="0" xfId="0"/>
    <xf numFmtId="164" fontId="10" fillId="0" borderId="0" applyAlignment="1" pivotButton="0" quotePrefix="0" xfId="0">
      <alignment horizontal="center"/>
    </xf>
    <xf numFmtId="0" fontId="10" fillId="0" borderId="14" pivotButton="0" quotePrefix="0" xfId="0"/>
    <xf numFmtId="164" fontId="10" fillId="0" borderId="22" pivotButton="0" quotePrefix="0" xfId="0"/>
    <xf numFmtId="164" fontId="10" fillId="0" borderId="0" pivotButton="0" quotePrefix="0" xfId="0"/>
    <xf numFmtId="164" fontId="10" fillId="0" borderId="15" pivotButton="0" quotePrefix="0" xfId="0"/>
    <xf numFmtId="0" fontId="18" fillId="2" borderId="0" applyAlignment="1" pivotButton="0" quotePrefix="0" xfId="0">
      <alignment horizontal="center"/>
    </xf>
    <xf numFmtId="0" fontId="18" fillId="2" borderId="0" applyAlignment="1" pivotButton="0" quotePrefix="0" xfId="0">
      <alignment horizontal="center" wrapText="1"/>
    </xf>
    <xf numFmtId="0" fontId="10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21" fillId="2" borderId="0" applyAlignment="1" pivotButton="0" quotePrefix="0" xfId="0">
      <alignment horizontal="center"/>
    </xf>
    <xf numFmtId="0" fontId="21" fillId="2" borderId="0" applyAlignment="1" pivotButton="0" quotePrefix="0" xfId="0">
      <alignment horizontal="center" wrapText="1"/>
    </xf>
    <xf numFmtId="0" fontId="22" fillId="2" borderId="0" applyAlignment="1" pivotButton="0" quotePrefix="0" xfId="0">
      <alignment horizontal="center"/>
    </xf>
    <xf numFmtId="0" fontId="23" fillId="2" borderId="0" applyAlignment="1" pivotButton="0" quotePrefix="0" xfId="0">
      <alignment horizontal="center" wrapText="1"/>
    </xf>
    <xf numFmtId="0" fontId="24" fillId="2" borderId="0" applyAlignment="1" pivotButton="0" quotePrefix="0" xfId="0">
      <alignment horizontal="center"/>
    </xf>
    <xf numFmtId="49" fontId="10" fillId="0" borderId="0" applyAlignment="1" pivotButton="0" quotePrefix="0" xfId="0">
      <alignment horizontal="center"/>
    </xf>
    <xf numFmtId="0" fontId="10" fillId="3" borderId="0" pivotButton="0" quotePrefix="0" xfId="0"/>
    <xf numFmtId="0" fontId="10" fillId="0" borderId="0" applyAlignment="1" pivotButton="0" quotePrefix="0" xfId="0">
      <alignment vertical="top"/>
    </xf>
    <xf numFmtId="0" fontId="25" fillId="0" borderId="0" applyAlignment="1" pivotButton="0" quotePrefix="0" xfId="0">
      <alignment wrapText="1"/>
    </xf>
    <xf numFmtId="0" fontId="26" fillId="3" borderId="0" applyAlignment="1" pivotButton="0" quotePrefix="0" xfId="0">
      <alignment wrapText="1"/>
    </xf>
    <xf numFmtId="0" fontId="10" fillId="3" borderId="0" applyAlignment="1" pivotButton="0" quotePrefix="0" xfId="0">
      <alignment horizontal="center"/>
    </xf>
    <xf numFmtId="0" fontId="27" fillId="2" borderId="0" applyAlignment="1" pivotButton="0" quotePrefix="0" xfId="0">
      <alignment horizontal="center"/>
    </xf>
    <xf numFmtId="0" fontId="10" fillId="0" borderId="0" applyAlignment="1" pivotButton="0" quotePrefix="0" xfId="0">
      <alignment wrapText="1"/>
    </xf>
    <xf numFmtId="0" fontId="28" fillId="2" borderId="0" applyAlignment="1" pivotButton="0" quotePrefix="0" xfId="0">
      <alignment horizontal="center"/>
    </xf>
    <xf numFmtId="0" fontId="10" fillId="2" borderId="16" pivotButton="0" quotePrefix="0" xfId="0"/>
    <xf numFmtId="0" fontId="21" fillId="2" borderId="16" applyAlignment="1" pivotButton="0" quotePrefix="0" xfId="0">
      <alignment horizontal="center" wrapText="1"/>
    </xf>
    <xf numFmtId="0" fontId="10" fillId="0" borderId="16" applyAlignment="1" pivotButton="0" quotePrefix="0" xfId="0">
      <alignment wrapText="1"/>
    </xf>
    <xf numFmtId="0" fontId="10" fillId="0" borderId="16" applyAlignment="1" pivotButton="0" quotePrefix="0" xfId="0">
      <alignment horizontal="right" wrapText="1"/>
    </xf>
    <xf numFmtId="2" fontId="10" fillId="0" borderId="16" applyAlignment="1" pivotButton="0" quotePrefix="0" xfId="0">
      <alignment horizontal="right" wrapText="1"/>
    </xf>
    <xf numFmtId="2" fontId="10" fillId="0" borderId="16" applyAlignment="1" pivotButton="0" quotePrefix="0" xfId="0">
      <alignment wrapText="1"/>
    </xf>
    <xf numFmtId="0" fontId="15" fillId="2" borderId="16" applyAlignment="1" pivotButton="0" quotePrefix="0" xfId="0">
      <alignment wrapText="1"/>
    </xf>
    <xf numFmtId="0" fontId="10" fillId="2" borderId="16" applyAlignment="1" pivotButton="0" quotePrefix="0" xfId="0">
      <alignment wrapText="1"/>
    </xf>
    <xf numFmtId="4" fontId="15" fillId="2" borderId="16" applyAlignment="1" pivotButton="0" quotePrefix="0" xfId="0">
      <alignment horizontal="right" wrapText="1"/>
    </xf>
    <xf numFmtId="4" fontId="15" fillId="2" borderId="16" applyAlignment="1" pivotButton="0" quotePrefix="0" xfId="0">
      <alignment horizontal="center" wrapText="1"/>
    </xf>
    <xf numFmtId="2" fontId="7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 vertical="center"/>
    </xf>
    <xf numFmtId="0" fontId="30" fillId="6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22" pivotButton="0" quotePrefix="0" xfId="0"/>
    <xf numFmtId="2" fontId="32" fillId="8" borderId="28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4" fontId="10" fillId="0" borderId="1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4" fontId="10" fillId="0" borderId="4" applyAlignment="1" pivotButton="0" quotePrefix="0" xfId="0">
      <alignment horizontal="center" vertical="center"/>
    </xf>
    <xf numFmtId="4" fontId="10" fillId="0" borderId="13" applyAlignment="1" pivotButton="0" quotePrefix="0" xfId="0">
      <alignment horizontal="center" vertical="center"/>
    </xf>
    <xf numFmtId="0" fontId="15" fillId="2" borderId="6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2" fontId="15" fillId="2" borderId="0" applyAlignment="1" pivotButton="0" quotePrefix="0" xfId="0">
      <alignment horizontal="center" vertical="center"/>
    </xf>
    <xf numFmtId="2" fontId="10" fillId="0" borderId="17" applyAlignment="1" pivotButton="0" quotePrefix="0" xfId="0">
      <alignment horizontal="center" vertical="center"/>
    </xf>
    <xf numFmtId="2" fontId="10" fillId="0" borderId="27" applyAlignment="1" pivotButton="0" quotePrefix="0" xfId="0">
      <alignment horizontal="center" vertical="center"/>
    </xf>
    <xf numFmtId="2" fontId="15" fillId="2" borderId="27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0" fillId="6" borderId="18" pivotButton="0" quotePrefix="0" xfId="0"/>
    <xf numFmtId="0" fontId="10" fillId="6" borderId="0" pivotButton="0" quotePrefix="0" xfId="0"/>
    <xf numFmtId="0" fontId="10" fillId="6" borderId="0" applyAlignment="1" pivotButton="0" quotePrefix="0" xfId="0">
      <alignment horizontal="center" vertical="center"/>
    </xf>
    <xf numFmtId="0" fontId="31" fillId="6" borderId="18" pivotButton="0" quotePrefix="0" xfId="0"/>
    <xf numFmtId="0" fontId="31" fillId="6" borderId="0" pivotButton="0" quotePrefix="0" xfId="0"/>
    <xf numFmtId="0" fontId="31" fillId="6" borderId="0" applyAlignment="1" pivotButton="0" quotePrefix="0" xfId="0">
      <alignment horizontal="left" vertical="center"/>
    </xf>
    <xf numFmtId="0" fontId="31" fillId="6" borderId="0" applyAlignment="1" pivotButton="0" quotePrefix="0" xfId="0">
      <alignment horizontal="center" vertical="center"/>
    </xf>
    <xf numFmtId="4" fontId="31" fillId="6" borderId="0" applyAlignment="1" pivotButton="0" quotePrefix="0" xfId="0">
      <alignment horizontal="center" vertical="center"/>
    </xf>
    <xf numFmtId="4" fontId="31" fillId="6" borderId="16" applyAlignment="1" pivotButton="0" quotePrefix="0" xfId="0">
      <alignment horizontal="center" vertical="center"/>
    </xf>
    <xf numFmtId="0" fontId="31" fillId="6" borderId="16" applyAlignment="1" pivotButton="0" quotePrefix="0" xfId="0">
      <alignment horizontal="center" vertical="center"/>
    </xf>
    <xf numFmtId="0" fontId="31" fillId="6" borderId="19" pivotButton="0" quotePrefix="0" xfId="0"/>
    <xf numFmtId="0" fontId="33" fillId="6" borderId="18" pivotButton="0" quotePrefix="0" xfId="0"/>
    <xf numFmtId="0" fontId="0" fillId="6" borderId="0" pivotButton="0" quotePrefix="0" xfId="0"/>
    <xf numFmtId="0" fontId="31" fillId="6" borderId="16" pivotButton="0" quotePrefix="0" xfId="0"/>
    <xf numFmtId="0" fontId="33" fillId="6" borderId="8" pivotButton="0" quotePrefix="0" xfId="0"/>
    <xf numFmtId="0" fontId="31" fillId="6" borderId="6" pivotButton="0" quotePrefix="0" xfId="0"/>
    <xf numFmtId="0" fontId="31" fillId="6" borderId="6" applyAlignment="1" pivotButton="0" quotePrefix="0" xfId="0">
      <alignment horizontal="center" vertical="center"/>
    </xf>
    <xf numFmtId="0" fontId="10" fillId="6" borderId="3" pivotButton="0" quotePrefix="0" xfId="0"/>
    <xf numFmtId="0" fontId="10" fillId="6" borderId="24" pivotButton="0" quotePrefix="0" xfId="0"/>
    <xf numFmtId="0" fontId="10" fillId="6" borderId="25" pivotButton="0" quotePrefix="0" xfId="0"/>
    <xf numFmtId="0" fontId="31" fillId="6" borderId="8" pivotButton="0" quotePrefix="0" xfId="0"/>
    <xf numFmtId="0" fontId="31" fillId="6" borderId="13" pivotButton="0" quotePrefix="0" xfId="0"/>
    <xf numFmtId="0" fontId="10" fillId="0" borderId="21" applyAlignment="1" pivotButton="0" quotePrefix="0" xfId="0">
      <alignment horizontal="center" vertical="center"/>
    </xf>
    <xf numFmtId="0" fontId="10" fillId="6" borderId="23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0" fillId="6" borderId="20" pivotButton="0" quotePrefix="0" xfId="0"/>
    <xf numFmtId="0" fontId="10" fillId="6" borderId="25" applyAlignment="1" pivotButton="0" quotePrefix="0" xfId="0">
      <alignment horizontal="center" vertical="center"/>
    </xf>
    <xf numFmtId="0" fontId="10" fillId="6" borderId="29" pivotButton="0" quotePrefix="0" xfId="0"/>
    <xf numFmtId="0" fontId="31" fillId="6" borderId="5" pivotButton="0" quotePrefix="0" xfId="0"/>
    <xf numFmtId="0" fontId="31" fillId="6" borderId="7" pivotButton="0" quotePrefix="0" xfId="0"/>
    <xf numFmtId="0" fontId="33" fillId="6" borderId="10" pivotButton="0" quotePrefix="0" xfId="0"/>
    <xf numFmtId="0" fontId="33" fillId="6" borderId="0" applyAlignment="1" pivotButton="0" quotePrefix="0" xfId="0">
      <alignment horizontal="center"/>
    </xf>
    <xf numFmtId="0" fontId="33" fillId="6" borderId="11" pivotButton="0" quotePrefix="0" xfId="0"/>
    <xf numFmtId="0" fontId="33" fillId="6" borderId="17" applyAlignment="1" pivotButton="0" quotePrefix="0" xfId="0">
      <alignment horizontal="center"/>
    </xf>
    <xf numFmtId="0" fontId="33" fillId="6" borderId="11" applyAlignment="1" pivotButton="0" quotePrefix="0" xfId="0">
      <alignment horizontal="center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35" fillId="6" borderId="0" applyAlignment="1" pivotButton="0" quotePrefix="0" xfId="0">
      <alignment horizontal="center" wrapText="1"/>
    </xf>
    <xf numFmtId="0" fontId="35" fillId="6" borderId="0" applyAlignment="1" pivotButton="0" quotePrefix="0" xfId="0">
      <alignment horizontal="center"/>
    </xf>
    <xf numFmtId="0" fontId="36" fillId="6" borderId="0" applyAlignment="1" pivotButton="0" quotePrefix="0" xfId="0">
      <alignment horizontal="center"/>
    </xf>
    <xf numFmtId="0" fontId="35" fillId="7" borderId="0" applyAlignment="1" pivotButton="0" quotePrefix="0" xfId="0">
      <alignment wrapText="1"/>
    </xf>
    <xf numFmtId="0" fontId="35" fillId="7" borderId="0" pivotButton="0" quotePrefix="0" xfId="0"/>
    <xf numFmtId="0" fontId="35" fillId="7" borderId="0" applyAlignment="1" pivotButton="0" quotePrefix="0" xfId="0">
      <alignment horizontal="center"/>
    </xf>
    <xf numFmtId="0" fontId="37" fillId="2" borderId="0" applyAlignment="1" pivotButton="0" quotePrefix="0" xfId="0">
      <alignment wrapText="1"/>
    </xf>
    <xf numFmtId="0" fontId="37" fillId="2" borderId="0" pivotButton="0" quotePrefix="0" xfId="0"/>
    <xf numFmtId="0" fontId="37" fillId="2" borderId="0" applyAlignment="1" pivotButton="0" quotePrefix="0" xfId="0">
      <alignment horizontal="center"/>
    </xf>
    <xf numFmtId="0" fontId="33" fillId="6" borderId="12" applyAlignment="1" pivotButton="0" quotePrefix="0" xfId="0">
      <alignment horizontal="center"/>
    </xf>
    <xf numFmtId="0" fontId="30" fillId="0" borderId="0" pivotButton="0" quotePrefix="0" xfId="0"/>
    <xf numFmtId="164" fontId="10" fillId="0" borderId="13" applyAlignment="1" pivotButton="0" quotePrefix="0" xfId="0">
      <alignment horizontal="right"/>
    </xf>
    <xf numFmtId="164" fontId="10" fillId="0" borderId="13" pivotButton="0" quotePrefix="0" xfId="0"/>
    <xf numFmtId="0" fontId="9" fillId="2" borderId="3" applyAlignment="1" pivotButton="0" quotePrefix="0" xfId="0">
      <alignment horizontal="center"/>
    </xf>
    <xf numFmtId="0" fontId="0" fillId="0" borderId="4" pivotButton="0" quotePrefix="0" xfId="0"/>
    <xf numFmtId="0" fontId="3" fillId="2" borderId="0" pivotButton="0" quotePrefix="0" xfId="0"/>
    <xf numFmtId="0" fontId="0" fillId="0" borderId="0" pivotButton="0" quotePrefix="0" xfId="0"/>
    <xf numFmtId="0" fontId="38" fillId="2" borderId="0" applyAlignment="1" pivotButton="0" quotePrefix="0" xfId="0">
      <alignment horizontal="left"/>
    </xf>
    <xf numFmtId="0" fontId="33" fillId="6" borderId="13" applyAlignment="1" pivotButton="0" quotePrefix="0" xfId="0">
      <alignment horizontal="center" vertical="center"/>
    </xf>
    <xf numFmtId="0" fontId="0" fillId="0" borderId="13" pivotButton="0" quotePrefix="0" xfId="0"/>
    <xf numFmtId="0" fontId="1" fillId="2" borderId="0" applyAlignment="1" pivotButton="0" quotePrefix="0" xfId="0">
      <alignment horizontal="center" wrapText="1"/>
    </xf>
    <xf numFmtId="0" fontId="34" fillId="2" borderId="0" applyAlignment="1" pivotButton="0" quotePrefix="0" xfId="0">
      <alignment horizontal="center" wrapText="1"/>
    </xf>
    <xf numFmtId="0" fontId="11" fillId="2" borderId="16" applyAlignment="1" pivotButton="0" quotePrefix="0" xfId="0">
      <alignment horizontal="center"/>
    </xf>
    <xf numFmtId="0" fontId="0" fillId="0" borderId="9" pivotButton="0" quotePrefix="0" xfId="0"/>
    <xf numFmtId="0" fontId="8" fillId="2" borderId="3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0" fillId="0" borderId="5" applyAlignment="1" pivotButton="0" quotePrefix="0" xfId="0">
      <alignment horizontal="center"/>
    </xf>
    <xf numFmtId="0" fontId="0" fillId="0" borderId="22" pivotButton="0" quotePrefix="0" xfId="0"/>
    <xf numFmtId="0" fontId="0" fillId="0" borderId="6" pivotButton="0" quotePrefix="0" xfId="0"/>
    <xf numFmtId="0" fontId="17" fillId="2" borderId="0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0" fontId="29" fillId="2" borderId="16" applyAlignment="1" pivotButton="0" quotePrefix="0" xfId="0">
      <alignment horizontal="center" wrapText="1"/>
    </xf>
    <xf numFmtId="0" fontId="11" fillId="2" borderId="16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JkTGveLBlooRriBlb3qVgyisPeu6jVoh1oz4zENg6Sc/edit?usp=sharing" TargetMode="External" Id="rId1" /><Relationship Type="http://schemas.openxmlformats.org/officeDocument/2006/relationships/hyperlink" Target="https://docs.google.com/spreadsheets/d/1JkTGveLBlooRriBlb3qVgyisPeu6jVoh1oz4zENg6Sc/edit?usp=sharing" TargetMode="External" Id="rId2" /><Relationship Type="http://schemas.openxmlformats.org/officeDocument/2006/relationships/hyperlink" Target="https://docs.google.com/spreadsheets/d/1BYH-z15Wax1PVGSUVb1D4ZbTjNZUUj1fgh61VLj03IA/edit?usp=sharing" TargetMode="External" Id="rId3" /><Relationship Type="http://schemas.openxmlformats.org/officeDocument/2006/relationships/hyperlink" Target="https://docs.google.com/spreadsheets/d/1LRIgDsfOKZcA84ChUyB9677uaTGAU8MR-XbJEJBKNF0/edit?usp=sharing" TargetMode="External" Id="rId4" /><Relationship Type="http://schemas.openxmlformats.org/officeDocument/2006/relationships/hyperlink" Target="mailto:nadya.voytovich@gcccharters.org" TargetMode="External" Id="rId5" /><Relationship Type="http://schemas.openxmlformats.org/officeDocument/2006/relationships/hyperlink" Target="mailto:anastasia.derevyanchuk@gcccharters.org" TargetMode="External" Id="rId6" /><Relationship Type="http://schemas.openxmlformats.org/officeDocument/2006/relationships/hyperlink" Target="mailto:pamela.hamilton@gcccharters.org" TargetMode="External" Id="rId7" /><Relationship Type="http://schemas.openxmlformats.org/officeDocument/2006/relationships/hyperlink" Target="mailto:mariah.powers@gcccharters.org" TargetMode="External" Id="rId8" /><Relationship Type="http://schemas.openxmlformats.org/officeDocument/2006/relationships/hyperlink" Target="mailto:mariah.powers@gcccharters.org" TargetMode="External" Id="rId9" /><Relationship Type="http://schemas.openxmlformats.org/officeDocument/2006/relationships/hyperlink" Target="mailto:mariah.powers@gcccharters.org" TargetMode="External" Id="rId10" /><Relationship Type="http://schemas.openxmlformats.org/officeDocument/2006/relationships/hyperlink" Target="mailto:mariah.powers@gcccharters.org" TargetMode="External" Id="rId11" /><Relationship Type="http://schemas.openxmlformats.org/officeDocument/2006/relationships/hyperlink" Target="mailto:rebecca.hammack@gcccharters.org" TargetMode="External" Id="rId12" /><Relationship Type="http://schemas.openxmlformats.org/officeDocument/2006/relationships/hyperlink" Target="mailto:andrea.flores@gcccharters.org" TargetMode="External" Id="rId13" /><Relationship Type="http://schemas.openxmlformats.org/officeDocument/2006/relationships/hyperlink" Target="mailto:victoria.vasilenko@gcccharters.org" TargetMode="External" Id="rId14" /><Relationship Type="http://schemas.openxmlformats.org/officeDocument/2006/relationships/hyperlink" Target="mailto:natalya.yeremuk@gcccharters.org" TargetMode="External" Id="rId15" /><Relationship Type="http://schemas.openxmlformats.org/officeDocument/2006/relationships/hyperlink" Target="mailto:larisa.astapov@gcccharters.org" TargetMode="External" Id="rId16" /><Relationship Type="http://schemas.openxmlformats.org/officeDocument/2006/relationships/hyperlink" Target="mailto:galina.chernioglo@gcccharters.org" TargetMode="External" Id="rId17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03"/>
  <sheetViews>
    <sheetView tabSelected="1" topLeftCell="D70" zoomScale="85" zoomScaleNormal="85" workbookViewId="0">
      <selection activeCell="R58" sqref="R58"/>
    </sheetView>
  </sheetViews>
  <sheetFormatPr baseColWidth="8" defaultColWidth="12.5703125" defaultRowHeight="15.75" customHeight="1"/>
  <cols>
    <col width="57.42578125" customWidth="1" style="172" min="1" max="1"/>
    <col width="20" customWidth="1" style="172" min="2" max="2"/>
    <col width="19.85546875" customWidth="1" style="172" min="3" max="3"/>
    <col width="31" customWidth="1" style="172" min="4" max="4"/>
    <col width="12.5703125" customWidth="1" style="172" min="5" max="20"/>
  </cols>
  <sheetData>
    <row r="1" ht="24" customHeight="1" s="172">
      <c r="A1" s="173" t="inlineStr">
        <is>
          <t>Reported ADA: EPIC 2024-2025 P3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14.25" customHeight="1" s="172">
      <c r="A2" s="154" t="inlineStr">
        <is>
          <t>Classroom-based ADA</t>
        </is>
      </c>
      <c r="B2" s="155" t="n"/>
      <c r="C2" s="94" t="inlineStr">
        <is>
          <t>TK/K-3</t>
        </is>
      </c>
      <c r="D2" s="94" t="inlineStr">
        <is>
          <t>Grades 4-6</t>
        </is>
      </c>
      <c r="E2" s="94" t="inlineStr">
        <is>
          <t>Grades 7-8</t>
        </is>
      </c>
      <c r="F2" s="94" t="inlineStr">
        <is>
          <t>Grades 9-12</t>
        </is>
      </c>
      <c r="G2" s="94" t="inlineStr">
        <is>
          <t>Total</t>
        </is>
      </c>
      <c r="H2" s="171" t="n"/>
    </row>
    <row r="3" ht="14.25" customHeight="1" s="172">
      <c r="A3" s="2" t="inlineStr">
        <is>
          <t>Regular Classroom-based ADA</t>
        </is>
      </c>
      <c r="B3" s="3" t="inlineStr">
        <is>
          <t>B-1</t>
        </is>
      </c>
      <c r="C3" s="4">
        <f>G94+G93</f>
        <v/>
      </c>
      <c r="D3" s="4">
        <f>G95</f>
        <v/>
      </c>
      <c r="E3" s="4">
        <f>G96</f>
        <v/>
      </c>
      <c r="F3" s="4">
        <f>G97</f>
        <v/>
      </c>
      <c r="G3" s="4">
        <f>TRUNC(G98,2)</f>
        <v/>
      </c>
    </row>
    <row r="4" ht="28.5" customHeight="1" s="172">
      <c r="A4" s="2" t="inlineStr">
        <is>
          <t>Extended Year Special Education [EC 56345(b)(3)] Classroom-based ADA (Divisor 175)</t>
        </is>
      </c>
      <c r="B4" s="3" t="inlineStr">
        <is>
          <t>B-2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-</t>
        </is>
      </c>
    </row>
    <row r="5" ht="42.75" customHeight="1" s="172">
      <c r="A5" s="2" t="inlineStr">
        <is>
          <t>Special Education - Nonpublic, Nonsectarian Schools [EC 56366(a)(7)] and/or Nonpublic, Nonsectarian Schools - Licensed Children Institutions Classroom-based ADA</t>
        </is>
      </c>
      <c r="B5" s="3" t="inlineStr">
        <is>
          <t>B-3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</row>
    <row r="6" ht="57" customHeight="1" s="172">
      <c r="A6" s="2" t="inlineStr">
        <is>
          <t>Extended Year Special Education - Nonpublic, Nonsectarian Schools [EC 56366(a)(7)] and/or Nonpublic, Nonsectarian Schools - Licensed Childrens Institutions Classroom-based ADA (Divisor 175)</t>
        </is>
      </c>
      <c r="B6" s="3" t="inlineStr">
        <is>
          <t>B-4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28.5" customHeight="1" s="172">
      <c r="A7" s="2" t="inlineStr">
        <is>
          <t>Classroom-based ADA Totals for Track (Sum of B-1 through B-4)</t>
        </is>
      </c>
      <c r="B7" s="3" t="inlineStr">
        <is>
          <t>B-5</t>
        </is>
      </c>
      <c r="C7" s="91">
        <f>SUM(C3:C6)</f>
        <v/>
      </c>
      <c r="D7" s="91">
        <f>SUM(D3:D6)</f>
        <v/>
      </c>
      <c r="E7" s="91">
        <f>SUM(E3:E6)</f>
        <v/>
      </c>
      <c r="F7" s="91">
        <f>SUM(F3:F6)</f>
        <v/>
      </c>
      <c r="G7" s="91">
        <f>TRUNC(SUM(G3:G6),2)</f>
        <v/>
      </c>
    </row>
    <row r="8" ht="14.25" customHeight="1" s="172">
      <c r="A8" s="154" t="inlineStr">
        <is>
          <t>Nonclassroom-based ADA</t>
        </is>
      </c>
      <c r="B8" s="155" t="n"/>
      <c r="C8" s="94" t="inlineStr">
        <is>
          <t>TK/K-3</t>
        </is>
      </c>
      <c r="D8" s="94" t="inlineStr">
        <is>
          <t>Grades 4-6</t>
        </is>
      </c>
      <c r="E8" s="94" t="inlineStr">
        <is>
          <t>Grades 7-8</t>
        </is>
      </c>
      <c r="F8" s="94" t="inlineStr">
        <is>
          <t>Grades 9-12</t>
        </is>
      </c>
      <c r="G8" s="94" t="inlineStr">
        <is>
          <t>Total</t>
        </is>
      </c>
    </row>
    <row r="9" ht="14.25" customHeight="1" s="172">
      <c r="A9" s="2" t="inlineStr">
        <is>
          <t>Regular Nonclassroom-based ADA</t>
        </is>
      </c>
      <c r="B9" s="3" t="inlineStr">
        <is>
          <t>C-1</t>
        </is>
      </c>
      <c r="C9" s="4">
        <f>J93</f>
        <v/>
      </c>
      <c r="D9" s="4">
        <f>J94</f>
        <v/>
      </c>
      <c r="E9" s="4">
        <f>J95</f>
        <v/>
      </c>
      <c r="F9" s="4">
        <f>J96</f>
        <v/>
      </c>
      <c r="G9" s="4">
        <f>TRUNC(J98,2)</f>
        <v/>
      </c>
    </row>
    <row r="10" ht="28.5" customHeight="1" s="172">
      <c r="A10" s="2" t="inlineStr">
        <is>
          <t>Extended Year Special Education [EC 56345(b)(3)] Nonclassroom-based ADA (Divisor 175)</t>
        </is>
      </c>
      <c r="B10" s="3" t="inlineStr">
        <is>
          <t>C-2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42.75" customHeight="1" s="172">
      <c r="A11" s="2" t="inlineStr">
        <is>
          <t>Special Education - Nonpublic, Nonsectarian Schools [EC 56366(a)(7)] and/or Nonpublic, Nonsectarian Schools - Licensed Childrens Institutions Nonclassroom-based ADA</t>
        </is>
      </c>
      <c r="B11" s="3" t="inlineStr">
        <is>
          <t>C-3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  <row r="12" ht="57" customHeight="1" s="172">
      <c r="A12" s="2" t="inlineStr">
        <is>
          <t>Extended Year Special Education - Nonpublic, Nonsectarian Schools [EC 56366(a)(7)] and/or Nonpublic, Nonsectarian Schools - Licensed Childrens Institutions Nonclassroom-based ADA (Divisor 175)</t>
        </is>
      </c>
      <c r="B12" s="3" t="inlineStr">
        <is>
          <t>C-4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  <c r="G12" s="5" t="inlineStr">
        <is>
          <t>-</t>
        </is>
      </c>
    </row>
    <row r="13" ht="28.5" customHeight="1" s="172">
      <c r="A13" s="2" t="inlineStr">
        <is>
          <t>Nonclassroom-based ADA Totals for Track (Sum of C-1 through C-4)</t>
        </is>
      </c>
      <c r="B13" s="3" t="inlineStr">
        <is>
          <t>C-5</t>
        </is>
      </c>
      <c r="C13" s="91">
        <f>SUM(C9:C12)</f>
        <v/>
      </c>
      <c r="D13" s="91">
        <f>SUM(D9:D12)</f>
        <v/>
      </c>
      <c r="E13" s="91">
        <f>SUM(E9:E12)</f>
        <v/>
      </c>
      <c r="F13" s="91">
        <f>SUM(F9:F12)</f>
        <v/>
      </c>
      <c r="G13" s="91">
        <f>TRUNC(SUM(G9:G12),2)</f>
        <v/>
      </c>
    </row>
    <row r="14" ht="14.25" customHeight="1" s="172">
      <c r="A14" s="2" t="inlineStr">
        <is>
          <t>ADA Totals for Track</t>
        </is>
      </c>
      <c r="B14" s="3" t="n"/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</row>
    <row r="15" ht="14.25" customHeight="1" s="172">
      <c r="A15" s="2" t="inlineStr">
        <is>
          <t>Total Regular ADA (B-1 + C-1)</t>
        </is>
      </c>
      <c r="B15" s="3" t="inlineStr">
        <is>
          <t>D-1</t>
        </is>
      </c>
      <c r="C15" s="91">
        <f>C3+C9</f>
        <v/>
      </c>
      <c r="D15" s="91">
        <f>D3+D9</f>
        <v/>
      </c>
      <c r="E15" s="91">
        <f>E3+E9</f>
        <v/>
      </c>
      <c r="F15" s="91">
        <f>F3+F9</f>
        <v/>
      </c>
      <c r="G15" s="91">
        <f>TRUNC(G3+G9,2)</f>
        <v/>
      </c>
    </row>
    <row r="16" ht="28.5" customHeight="1" s="172">
      <c r="A16" s="2" t="inlineStr">
        <is>
          <t>Total Extended Year Special Education [EC 56345(b)(3)] ADA (Divisor 175) (B-2 + C-2)</t>
        </is>
      </c>
      <c r="B16" s="3" t="inlineStr">
        <is>
          <t>D-2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</row>
    <row r="17" ht="42.75" customHeight="1" s="172">
      <c r="A17" s="2" t="inlineStr">
        <is>
          <t>Total Special Education - Nonpublic, Nonsectarian Schools [EC 56366(a)(7)] and/or Nonpublic, Nonsectarian Schools - Licensed Children Institutions ADA (B-3 + C-3)</t>
        </is>
      </c>
      <c r="B17" s="3" t="inlineStr">
        <is>
          <t>D-3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</row>
    <row r="18" ht="57" customHeight="1" s="172">
      <c r="A18" s="2" t="inlineStr">
        <is>
          <t>Total Extended Year Special Education - Nonpublic, Nonsectarian Schools [EC 56366(a)(7)] and/or Nonpublic, Nonsectarian Schools - Licensed Childrens Institutions (Divisor 175) ADA (B-4 + C-4)</t>
        </is>
      </c>
      <c r="B18" s="3" t="inlineStr">
        <is>
          <t>D-4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-</t>
        </is>
      </c>
    </row>
    <row r="19" ht="14.25" customHeight="1" s="172">
      <c r="A19" s="2" t="inlineStr">
        <is>
          <t>ADA Totals for Track (Sum of D-1 through D-4)</t>
        </is>
      </c>
      <c r="B19" s="3" t="inlineStr">
        <is>
          <t>D-5</t>
        </is>
      </c>
      <c r="C19" s="91">
        <f>SUM(C15:C18)</f>
        <v/>
      </c>
      <c r="D19" s="91">
        <f>SUM(D15:D18)</f>
        <v/>
      </c>
      <c r="E19" s="91">
        <f>SUM(E15:E18)</f>
        <v/>
      </c>
      <c r="F19" s="91">
        <f>SUM(F15:F18)</f>
        <v/>
      </c>
      <c r="G19" s="91">
        <f>TRUNC(SUM(G15:G18),2)</f>
        <v/>
      </c>
    </row>
    <row r="20" ht="12.75" customHeight="1" s="172">
      <c r="A20" s="176" t="inlineStr">
        <is>
          <t>Transitional Kindergarten ADA</t>
        </is>
      </c>
    </row>
    <row r="21" ht="71.25" customHeight="1" s="172">
      <c r="A21" s="154" t="inlineStr">
        <is>
          <t>2024-25 school year: only students who turn 5 between September 2nd and June 2nd may generate ADA beginning the first day of the school year. Exclude ADA for students turning 5 between June 3rd and the end of the school year until their 5th birthday.</t>
        </is>
      </c>
      <c r="B21" s="155" t="n"/>
      <c r="C21" s="94" t="n"/>
      <c r="D21" s="94" t="n"/>
      <c r="E21" s="94" t="n"/>
      <c r="F21" s="94" t="n"/>
      <c r="G21" s="94" t="n"/>
    </row>
    <row r="22" ht="42.75" customHeight="1" s="172">
      <c r="A22" s="2" t="inlineStr">
        <is>
          <t>Classroom-based ADA for Students in Transitional Kindergarten pursuant to EC 48000(c) included in Line B-5 (TK/K-3 Column, First Year ADA Only)</t>
        </is>
      </c>
      <c r="B22" s="3" t="inlineStr">
        <is>
          <t>E-1</t>
        </is>
      </c>
      <c r="C22" s="4">
        <f>G93</f>
        <v/>
      </c>
      <c r="D22" s="6" t="inlineStr">
        <is>
          <t>NA</t>
        </is>
      </c>
      <c r="E22" s="6" t="inlineStr">
        <is>
          <t>NA</t>
        </is>
      </c>
      <c r="F22" s="6" t="inlineStr">
        <is>
          <t>NA</t>
        </is>
      </c>
      <c r="G22" s="6" t="inlineStr">
        <is>
          <t>NA</t>
        </is>
      </c>
    </row>
    <row r="23" ht="42.75" customHeight="1" s="172">
      <c r="A23" s="2" t="inlineStr">
        <is>
          <t>Non-Classroom-based ADA for Students in Transitional Kindergarten pursuant to EC 48000(c) included in Line C-5 (TK/K-3 Column, First Year ADA Only)</t>
        </is>
      </c>
      <c r="B23" s="3" t="inlineStr">
        <is>
          <t>E-2</t>
        </is>
      </c>
      <c r="C23" s="4">
        <f>J93</f>
        <v/>
      </c>
      <c r="D23" s="6" t="inlineStr">
        <is>
          <t>NA</t>
        </is>
      </c>
      <c r="E23" s="6" t="inlineStr">
        <is>
          <t>NA</t>
        </is>
      </c>
      <c r="F23" s="6" t="inlineStr">
        <is>
          <t>NA</t>
        </is>
      </c>
      <c r="G23" s="6" t="inlineStr">
        <is>
          <t>NA</t>
        </is>
      </c>
    </row>
    <row r="24" ht="28.5" customHeight="1" s="172">
      <c r="A24" s="2" t="inlineStr">
        <is>
          <t>Total ADA for Students in Transitional Kindergarten pursuant to EC 48000(c) (Sum of E-1 and E-2)</t>
        </is>
      </c>
      <c r="B24" s="3" t="inlineStr">
        <is>
          <t>E-3</t>
        </is>
      </c>
      <c r="C24" s="7" t="inlineStr">
        <is>
          <t>-</t>
        </is>
      </c>
      <c r="D24" s="6" t="inlineStr">
        <is>
          <t>NA</t>
        </is>
      </c>
      <c r="E24" s="6" t="inlineStr">
        <is>
          <t>NA</t>
        </is>
      </c>
      <c r="F24" s="6" t="inlineStr">
        <is>
          <t>NA</t>
        </is>
      </c>
      <c r="G24" s="6" t="inlineStr">
        <is>
          <t>NA</t>
        </is>
      </c>
    </row>
    <row r="25" ht="16.5" customHeight="1" s="172">
      <c r="A25" s="2" t="inlineStr">
        <is>
          <t>Other ADA</t>
        </is>
      </c>
      <c r="B25" s="3" t="n"/>
      <c r="C25" s="7" t="inlineStr">
        <is>
          <t>-</t>
        </is>
      </c>
      <c r="D25" s="6" t="inlineStr">
        <is>
          <t>NA</t>
        </is>
      </c>
      <c r="E25" s="6" t="inlineStr">
        <is>
          <t>NA</t>
        </is>
      </c>
      <c r="F25" s="6" t="inlineStr">
        <is>
          <t>NA</t>
        </is>
      </c>
      <c r="G25" s="6" t="inlineStr">
        <is>
          <t>NA</t>
        </is>
      </c>
    </row>
    <row r="26" ht="28.5" customHeight="1" s="172">
      <c r="A26" s="2" t="inlineStr">
        <is>
          <t>Nonclassroom-based ADA not eligible for funding pursuant to EC 47612.5(b) and 51745.6 and not included in C-5</t>
        </is>
      </c>
      <c r="B26" s="3" t="inlineStr">
        <is>
          <t>E-4</t>
        </is>
      </c>
      <c r="C26" s="7" t="inlineStr">
        <is>
          <t>-</t>
        </is>
      </c>
      <c r="D26" s="6" t="inlineStr">
        <is>
          <t>NA</t>
        </is>
      </c>
      <c r="E26" s="6" t="inlineStr">
        <is>
          <t>NA</t>
        </is>
      </c>
      <c r="F26" s="6" t="inlineStr">
        <is>
          <t>NA</t>
        </is>
      </c>
      <c r="G26" s="6" t="inlineStr">
        <is>
          <t>NA</t>
        </is>
      </c>
    </row>
    <row r="27" ht="28.5" customHeight="1" s="172">
      <c r="A27" s="2" t="inlineStr">
        <is>
          <t>Course Based Independent Study ADA, pursuant to EC 51749.5, included in C-5</t>
        </is>
      </c>
      <c r="B27" s="3" t="inlineStr">
        <is>
          <t>E-5</t>
        </is>
      </c>
      <c r="C27" s="7" t="inlineStr">
        <is>
          <t>-</t>
        </is>
      </c>
      <c r="D27" s="6" t="inlineStr">
        <is>
          <t>NA</t>
        </is>
      </c>
      <c r="E27" s="6" t="inlineStr">
        <is>
          <t>NA</t>
        </is>
      </c>
      <c r="F27" s="6" t="inlineStr">
        <is>
          <t>NA</t>
        </is>
      </c>
      <c r="G27" s="6" t="inlineStr">
        <is>
          <t>NA</t>
        </is>
      </c>
    </row>
    <row r="28" ht="42.75" customHeight="1" s="172">
      <c r="A28" s="2" t="inlineStr">
        <is>
          <t>Course Based Independent Study ADA not eligible for funding, pursuant to EC 47612.5(b) and 51745.6, included in E-4</t>
        </is>
      </c>
      <c r="B28" s="3" t="inlineStr">
        <is>
          <t>E-6</t>
        </is>
      </c>
      <c r="C28" s="7" t="inlineStr">
        <is>
          <t>-</t>
        </is>
      </c>
      <c r="D28" s="6" t="inlineStr">
        <is>
          <t>NA</t>
        </is>
      </c>
      <c r="E28" s="6" t="inlineStr">
        <is>
          <t>NA</t>
        </is>
      </c>
      <c r="F28" s="6" t="inlineStr">
        <is>
          <t>NA</t>
        </is>
      </c>
      <c r="G28" s="6" t="inlineStr">
        <is>
          <t>NA</t>
        </is>
      </c>
    </row>
    <row r="29" ht="16.5" customHeight="1" s="172">
      <c r="A29" s="2" t="n"/>
      <c r="B29" s="8" t="n"/>
      <c r="C29" s="8" t="n"/>
      <c r="D29" s="6" t="inlineStr">
        <is>
          <t>NA</t>
        </is>
      </c>
      <c r="E29" s="6" t="inlineStr">
        <is>
          <t>NA</t>
        </is>
      </c>
      <c r="F29" s="6" t="inlineStr">
        <is>
          <t>NA</t>
        </is>
      </c>
      <c r="G29" s="6" t="inlineStr">
        <is>
          <t>NA</t>
        </is>
      </c>
    </row>
    <row r="30" ht="12.75" customHeight="1" s="172">
      <c r="A30" s="177" t="inlineStr">
        <is>
          <t>Summary</t>
        </is>
      </c>
    </row>
    <row r="31" ht="14.25" customHeight="1" s="172">
      <c r="A31" s="154" t="inlineStr">
        <is>
          <t>Summary of Reported ADA for All Tracks</t>
        </is>
      </c>
      <c r="B31" s="155" t="n"/>
      <c r="C31" s="94" t="inlineStr">
        <is>
          <t>TK/K-3</t>
        </is>
      </c>
      <c r="D31" s="94" t="inlineStr">
        <is>
          <t>Grades 4-6</t>
        </is>
      </c>
      <c r="E31" s="94" t="inlineStr">
        <is>
          <t>Grades 7-8</t>
        </is>
      </c>
      <c r="F31" s="94" t="inlineStr">
        <is>
          <t>Grades 9-12</t>
        </is>
      </c>
      <c r="G31" s="94" t="inlineStr">
        <is>
          <t>Total</t>
        </is>
      </c>
    </row>
    <row r="32" ht="25.5" customHeight="1" s="172">
      <c r="A32" s="9" t="inlineStr">
        <is>
          <t>Classroom-based ADA Totals for All Tracks (Sum of all records B-5)</t>
        </is>
      </c>
      <c r="B32" s="10" t="inlineStr">
        <is>
          <t>I-1</t>
        </is>
      </c>
      <c r="C32" s="90">
        <f>C7</f>
        <v/>
      </c>
      <c r="D32" s="90">
        <f>D7</f>
        <v/>
      </c>
      <c r="E32" s="90">
        <f>E7</f>
        <v/>
      </c>
      <c r="F32" s="90">
        <f>F7</f>
        <v/>
      </c>
      <c r="G32" s="90">
        <f>G7</f>
        <v/>
      </c>
    </row>
    <row r="33" ht="25.5" customHeight="1" s="172">
      <c r="A33" s="9" t="inlineStr">
        <is>
          <t>Nonclassroom-based ADA Totals for All Tracks (Sum of all records C-5)</t>
        </is>
      </c>
      <c r="B33" s="10" t="inlineStr">
        <is>
          <t>I-2</t>
        </is>
      </c>
      <c r="C33" s="90">
        <f>C13</f>
        <v/>
      </c>
      <c r="D33" s="90">
        <f>D13</f>
        <v/>
      </c>
      <c r="E33" s="90">
        <f>E13</f>
        <v/>
      </c>
      <c r="F33" s="90">
        <f>F13</f>
        <v/>
      </c>
      <c r="G33" s="90">
        <f>G13</f>
        <v/>
      </c>
    </row>
    <row r="34" ht="12.75" customHeight="1" s="172">
      <c r="A34" s="156" t="inlineStr">
        <is>
          <t>ADA Totals for All Tracks</t>
        </is>
      </c>
      <c r="B34" s="157" t="n"/>
      <c r="C34" s="158" t="inlineStr">
        <is>
          <t>TK/K-3</t>
        </is>
      </c>
      <c r="D34" s="158" t="inlineStr">
        <is>
          <t>Grades 4-6</t>
        </is>
      </c>
      <c r="E34" s="158" t="inlineStr">
        <is>
          <t>Grades 7-8</t>
        </is>
      </c>
      <c r="F34" s="158" t="inlineStr">
        <is>
          <t>Grades 9-12</t>
        </is>
      </c>
      <c r="G34" s="158" t="inlineStr">
        <is>
          <t>Total</t>
        </is>
      </c>
    </row>
    <row r="35" ht="12.75" customHeight="1" s="172">
      <c r="A35" s="9" t="inlineStr">
        <is>
          <t>Total Regular ADA (Sum of All Records D-1)</t>
        </is>
      </c>
      <c r="B35" s="10" t="inlineStr">
        <is>
          <t>J-1</t>
        </is>
      </c>
      <c r="C35" s="90">
        <f>C15</f>
        <v/>
      </c>
      <c r="D35" s="90">
        <f>D15</f>
        <v/>
      </c>
      <c r="E35" s="90">
        <f>E15</f>
        <v/>
      </c>
      <c r="F35" s="90">
        <f>F15</f>
        <v/>
      </c>
      <c r="G35" s="90">
        <f>G15</f>
        <v/>
      </c>
    </row>
    <row r="36" ht="25.5" customHeight="1" s="172">
      <c r="A36" s="9" t="inlineStr">
        <is>
          <t>Total Extended Year Special Education [EC 56345(b)(3)] ADA (Sum of All Records D-2)</t>
        </is>
      </c>
      <c r="B36" s="10" t="inlineStr">
        <is>
          <t>J-2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</row>
    <row r="37" ht="38.25" customHeight="1" s="172">
      <c r="A37" s="9" t="inlineStr">
        <is>
          <t>Total Special Education - Nonpublic, Nonsectarian Schools [EC 56366(a)(7)] and/or Nonpublic, Nonsectarian Schools - Licensed Childrens Institutions ADA (Sum of All Records D-3)</t>
        </is>
      </c>
      <c r="B37" s="10" t="inlineStr">
        <is>
          <t>J-3</t>
        </is>
      </c>
      <c r="C37" s="11" t="inlineStr">
        <is>
          <t>-</t>
        </is>
      </c>
      <c r="D37" s="11" t="inlineStr">
        <is>
          <t>-</t>
        </is>
      </c>
      <c r="E37" s="11" t="inlineStr">
        <is>
          <t>-</t>
        </is>
      </c>
      <c r="F37" s="11" t="inlineStr">
        <is>
          <t>-</t>
        </is>
      </c>
      <c r="G37" s="11" t="inlineStr">
        <is>
          <t>-</t>
        </is>
      </c>
    </row>
    <row r="38" ht="38.25" customHeight="1" s="172">
      <c r="A38" s="9" t="inlineStr">
        <is>
          <t>Total Extended Year Special Education - Nonpublic, Nonsectarian Schools [EC 56366(a)(7)] and/or Nonpublic, Nonsectarian Schools - Licensed Childrens Institutions ADA (Sum of All records D-4)</t>
        </is>
      </c>
      <c r="B38" s="10" t="inlineStr">
        <is>
          <t>J-4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</row>
    <row r="39" ht="12.75" customHeight="1" s="172">
      <c r="A39" s="9" t="inlineStr">
        <is>
          <t>ADA Totals for All Tracks (Sum of J-1 through J-4)</t>
        </is>
      </c>
      <c r="B39" s="10" t="inlineStr">
        <is>
          <t>J-5</t>
        </is>
      </c>
      <c r="C39" s="90">
        <f>SUM(C35:C38)</f>
        <v/>
      </c>
      <c r="D39" s="90">
        <f>SUM(D35:D38)</f>
        <v/>
      </c>
      <c r="E39" s="90">
        <f>SUM(E35:E38)</f>
        <v/>
      </c>
      <c r="F39" s="90">
        <f>SUM(F35:F38)</f>
        <v/>
      </c>
      <c r="G39" s="90">
        <f>SUM(G35:G38)</f>
        <v/>
      </c>
    </row>
    <row r="40" ht="12.75" customHeight="1" s="172">
      <c r="A40" s="159" t="inlineStr">
        <is>
          <t>Summary of Reported ADA for All Districts of Residence</t>
        </is>
      </c>
      <c r="B40" s="160" t="n"/>
      <c r="C40" s="161" t="n"/>
      <c r="D40" s="161" t="n"/>
      <c r="E40" s="161" t="n"/>
      <c r="F40" s="161" t="n"/>
      <c r="G40" s="161" t="n"/>
    </row>
    <row r="41" ht="28.5" customHeight="1" s="172">
      <c r="A41" s="159" t="inlineStr">
        <is>
          <t>Applicable to countywide charter schools authorized pursuant to EC 47605.6 and State Board of Education authorized charters</t>
        </is>
      </c>
      <c r="B41" s="160" t="n"/>
      <c r="C41" s="161" t="inlineStr">
        <is>
          <t>TK/K-3</t>
        </is>
      </c>
      <c r="D41" s="161" t="inlineStr">
        <is>
          <t>Grades 4-6</t>
        </is>
      </c>
      <c r="E41" s="161" t="inlineStr">
        <is>
          <t>Grades 7-8</t>
        </is>
      </c>
      <c r="F41" s="161" t="inlineStr">
        <is>
          <t>Grades 9-12</t>
        </is>
      </c>
      <c r="G41" s="161" t="inlineStr">
        <is>
          <t>Total</t>
        </is>
      </c>
    </row>
    <row r="42" ht="25.5" customHeight="1" s="172">
      <c r="A42" s="9" t="inlineStr">
        <is>
          <t>Classroom-based ADA Totals for All Districts (sum of all records F-5)</t>
        </is>
      </c>
      <c r="B42" s="10" t="inlineStr">
        <is>
          <t>K-1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</row>
    <row r="43" ht="25.5" customHeight="1" s="172">
      <c r="A43" s="9" t="inlineStr">
        <is>
          <t>Nonclassroom-based ADA Totals for All Districts (sum of all records G-5)</t>
        </is>
      </c>
      <c r="B43" s="10" t="inlineStr">
        <is>
          <t>K-2</t>
        </is>
      </c>
      <c r="C43" s="11" t="inlineStr">
        <is>
          <t>-</t>
        </is>
      </c>
      <c r="D43" s="11" t="inlineStr">
        <is>
          <t>-</t>
        </is>
      </c>
      <c r="E43" s="11" t="inlineStr">
        <is>
          <t>-</t>
        </is>
      </c>
      <c r="F43" s="11" t="inlineStr">
        <is>
          <t>-</t>
        </is>
      </c>
      <c r="G43" s="11" t="inlineStr">
        <is>
          <t>-</t>
        </is>
      </c>
    </row>
    <row r="44" ht="12.75" customHeight="1" s="172">
      <c r="A44" s="162" t="inlineStr">
        <is>
          <t>ADA Totals for All Districts of Residence</t>
        </is>
      </c>
      <c r="B44" s="163" t="n"/>
      <c r="C44" s="164" t="inlineStr">
        <is>
          <t>TK/K-3</t>
        </is>
      </c>
      <c r="D44" s="164" t="inlineStr">
        <is>
          <t>Grades 4-6</t>
        </is>
      </c>
      <c r="E44" s="164" t="inlineStr">
        <is>
          <t>Grades 7-8</t>
        </is>
      </c>
      <c r="F44" s="164" t="inlineStr">
        <is>
          <t>Grades 9-12</t>
        </is>
      </c>
      <c r="G44" s="164" t="inlineStr">
        <is>
          <t>Total</t>
        </is>
      </c>
    </row>
    <row r="45" ht="12.75" customHeight="1" s="172">
      <c r="A45" s="9" t="inlineStr">
        <is>
          <t>Total Regular ADA (sum of all records H-1)</t>
        </is>
      </c>
      <c r="B45" s="10" t="inlineStr">
        <is>
          <t>L-1</t>
        </is>
      </c>
      <c r="C45" s="11" t="inlineStr">
        <is>
          <t>-</t>
        </is>
      </c>
      <c r="D45" s="11" t="inlineStr">
        <is>
          <t>-</t>
        </is>
      </c>
      <c r="E45" s="11" t="inlineStr">
        <is>
          <t>-</t>
        </is>
      </c>
      <c r="F45" s="11" t="inlineStr">
        <is>
          <t>-</t>
        </is>
      </c>
      <c r="G45" s="11" t="inlineStr">
        <is>
          <t>-</t>
        </is>
      </c>
    </row>
    <row r="46" ht="25.5" customHeight="1" s="172">
      <c r="A46" s="9" t="inlineStr">
        <is>
          <t>Total Extended Year Special Education [EC 56345(b)(3)] ADA (Divisor 175) (Sum of All Records H-2)</t>
        </is>
      </c>
      <c r="B46" s="10" t="inlineStr">
        <is>
          <t>L-2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</row>
    <row r="47" ht="38.25" customHeight="1" s="172">
      <c r="A47" s="9" t="inlineStr">
        <is>
          <t>Total Special Education - Nonpublic, Nonsectarian Schools [EC 56366(a)(7)] and/or Nonpublic, Nonsectarian Schools - Licensed Childrens Institutions ADA (Sum of All Records H-3)</t>
        </is>
      </c>
      <c r="B47" s="10" t="inlineStr">
        <is>
          <t>L-3</t>
        </is>
      </c>
      <c r="C47" s="11" t="inlineStr">
        <is>
          <t>-</t>
        </is>
      </c>
      <c r="D47" s="11" t="inlineStr">
        <is>
          <t>-</t>
        </is>
      </c>
      <c r="E47" s="11" t="inlineStr">
        <is>
          <t>-</t>
        </is>
      </c>
      <c r="F47" s="11" t="inlineStr">
        <is>
          <t>-</t>
        </is>
      </c>
      <c r="G47" s="11" t="inlineStr">
        <is>
          <t>-</t>
        </is>
      </c>
    </row>
    <row r="48" ht="51" customHeight="1" s="172">
      <c r="A48" s="9" t="inlineStr">
        <is>
          <t>Total Extended Year Special Education - Nonpublic, Nonsectarian Schools [EC 56366(a)(7)] and/or Nonpublic, Nonsectarian Schools - Licensed Childrens Institutions (Divisor 175) ADA (Sum of All Records H-4)</t>
        </is>
      </c>
      <c r="B48" s="10" t="inlineStr">
        <is>
          <t>L-4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</row>
    <row r="49" ht="12.75" customHeight="1" s="172">
      <c r="A49" s="9" t="inlineStr">
        <is>
          <t>ADA Totals for All Districts (Sum of L-1 through L-4)</t>
        </is>
      </c>
      <c r="B49" s="10" t="inlineStr">
        <is>
          <t>L-5</t>
        </is>
      </c>
      <c r="C49" s="11" t="inlineStr">
        <is>
          <t>-</t>
        </is>
      </c>
      <c r="D49" s="11" t="inlineStr">
        <is>
          <t>-</t>
        </is>
      </c>
      <c r="E49" s="11" t="inlineStr">
        <is>
          <t>-</t>
        </is>
      </c>
      <c r="F49" s="11" t="inlineStr">
        <is>
          <t>-</t>
        </is>
      </c>
      <c r="G49" s="11" t="inlineStr">
        <is>
          <t>-</t>
        </is>
      </c>
    </row>
    <row r="50" hidden="1" s="172">
      <c r="A50" s="180" t="n"/>
      <c r="B50" s="181" t="n"/>
      <c r="C50" s="181" t="n"/>
      <c r="D50" s="181" t="n"/>
      <c r="E50" s="181" t="n"/>
      <c r="F50" s="181" t="n"/>
      <c r="G50" s="181" t="n"/>
      <c r="H50" s="181" t="n"/>
      <c r="I50" s="181" t="n"/>
      <c r="J50" s="181" t="n"/>
      <c r="K50" s="181" t="n"/>
      <c r="L50" s="181" t="n"/>
      <c r="M50" s="181" t="n"/>
      <c r="N50" s="181" t="n"/>
      <c r="O50" s="181" t="n"/>
      <c r="P50" s="181" t="n"/>
      <c r="Q50" s="181" t="n"/>
      <c r="R50" s="181" t="n"/>
      <c r="S50" s="182" t="n"/>
    </row>
    <row r="51" ht="19.5" customHeight="1" s="172">
      <c r="A51" s="169" t="inlineStr">
        <is>
          <t>Template- Apportionment Summary</t>
        </is>
      </c>
      <c r="B51" s="170" t="n"/>
      <c r="C51" s="170" t="n"/>
      <c r="D51" s="170" t="n"/>
      <c r="E51" s="170" t="n"/>
      <c r="F51" s="170" t="n"/>
      <c r="G51" s="170" t="n"/>
      <c r="H51" s="170" t="n"/>
      <c r="I51" s="170" t="n"/>
      <c r="J51" s="170" t="n"/>
      <c r="K51" s="170" t="n"/>
      <c r="L51" s="170" t="n"/>
      <c r="M51" s="170" t="n"/>
      <c r="N51" s="170" t="n"/>
      <c r="O51" s="170" t="n"/>
      <c r="P51" s="170" t="n"/>
      <c r="Q51" s="147" t="n"/>
      <c r="R51" s="134" t="n"/>
      <c r="S51" s="148" t="n"/>
    </row>
    <row r="52" ht="19.5" customHeight="1" s="172">
      <c r="A52" s="139" t="n"/>
      <c r="B52" s="134" t="n"/>
      <c r="C52" s="134" t="n"/>
      <c r="D52" s="134" t="n"/>
      <c r="E52" s="178" t="inlineStr">
        <is>
          <t>Reporting Period</t>
        </is>
      </c>
      <c r="F52" s="170" t="n"/>
      <c r="G52" s="170" t="n"/>
      <c r="H52" s="170" t="n"/>
      <c r="I52" s="170" t="n"/>
      <c r="J52" s="170" t="n"/>
      <c r="K52" s="170" t="n"/>
      <c r="L52" s="170" t="n"/>
      <c r="M52" s="170" t="n"/>
      <c r="N52" s="170" t="n"/>
      <c r="O52" s="170" t="n"/>
      <c r="P52" s="179" t="n"/>
      <c r="Q52" s="149" t="n"/>
      <c r="R52" s="150" t="inlineStr">
        <is>
          <t>Apport.</t>
        </is>
      </c>
      <c r="S52" s="151" t="n"/>
    </row>
    <row r="53" ht="19.5" customHeight="1" s="172">
      <c r="A53" s="92" t="n"/>
      <c r="B53" s="140" t="n"/>
      <c r="C53" s="140" t="n"/>
      <c r="D53" s="140" t="n"/>
      <c r="E53" s="15" t="n">
        <v>1</v>
      </c>
      <c r="F53" s="16" t="n">
        <v>2</v>
      </c>
      <c r="G53" s="15" t="n">
        <v>3</v>
      </c>
      <c r="H53" s="16" t="n">
        <v>4</v>
      </c>
      <c r="I53" s="15" t="n">
        <v>5</v>
      </c>
      <c r="J53" s="16" t="n">
        <v>6</v>
      </c>
      <c r="K53" s="15" t="n">
        <v>7</v>
      </c>
      <c r="L53" s="16" t="n">
        <v>8</v>
      </c>
      <c r="M53" s="15" t="n">
        <v>9</v>
      </c>
      <c r="N53" s="16" t="n">
        <v>10</v>
      </c>
      <c r="O53" s="15" t="n">
        <v>11</v>
      </c>
      <c r="P53" s="178" t="n">
        <v>12</v>
      </c>
      <c r="Q53" s="152" t="inlineStr">
        <is>
          <t>Total</t>
        </is>
      </c>
      <c r="R53" s="150" t="inlineStr">
        <is>
          <t>Days</t>
        </is>
      </c>
      <c r="S53" s="153" t="inlineStr">
        <is>
          <t>ADA</t>
        </is>
      </c>
    </row>
    <row r="54" hidden="1" ht="12.75" customFormat="1" customHeight="1" s="166">
      <c r="A54" s="122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32" t="n"/>
      <c r="R54" s="132" t="n"/>
      <c r="S54" s="129" t="n"/>
    </row>
    <row r="55" ht="12.75" customFormat="1" customHeight="1" s="166">
      <c r="A55" s="92" t="n"/>
      <c r="B55" s="133" t="inlineStr">
        <is>
          <t>Resident (C):</t>
        </is>
      </c>
      <c r="C55" s="165" t="inlineStr">
        <is>
          <t>Grade Range:</t>
        </is>
      </c>
      <c r="D55" s="135" t="n"/>
      <c r="E55" s="135" t="n"/>
      <c r="F55" s="135" t="n"/>
      <c r="G55" s="135" t="n"/>
      <c r="H55" s="135" t="n"/>
      <c r="I55" s="135" t="n"/>
      <c r="J55" s="135" t="n"/>
      <c r="K55" s="135" t="n"/>
      <c r="L55" s="135" t="n"/>
      <c r="M55" s="135" t="n"/>
      <c r="N55" s="135" t="n"/>
      <c r="O55" s="135" t="n"/>
      <c r="P55" s="135" t="n"/>
      <c r="Q55" s="128" t="n"/>
      <c r="R55" s="128" t="n"/>
      <c r="S55" s="129" t="n"/>
    </row>
    <row r="56" hidden="1" ht="12.75" customHeight="1" s="172">
      <c r="A56" s="119" t="n"/>
      <c r="B56" s="120" t="n"/>
      <c r="C56" s="18" t="inlineStr">
        <is>
          <t>Grade Range:</t>
        </is>
      </c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8" t="n"/>
      <c r="R56" s="98" t="n"/>
      <c r="S56" s="19" t="n"/>
    </row>
    <row r="57" ht="12.75" customHeight="1" s="172">
      <c r="A57" s="119" t="n"/>
      <c r="B57" s="120" t="n"/>
      <c r="C57" s="117" t="inlineStr">
        <is>
          <t>TK</t>
        </is>
      </c>
      <c r="D57" s="99" t="n"/>
      <c r="E57" s="100" t="n">
        <v>0</v>
      </c>
      <c r="F57" s="100" t="n">
        <v>297</v>
      </c>
      <c r="G57" s="100" t="n">
        <v>443</v>
      </c>
      <c r="H57" s="100" t="n">
        <v>0</v>
      </c>
      <c r="I57" s="100" t="n">
        <v>0</v>
      </c>
      <c r="J57" s="100" t="n">
        <v>0</v>
      </c>
      <c r="K57" s="100" t="n">
        <v>0</v>
      </c>
      <c r="L57" s="100" t="n">
        <v>0</v>
      </c>
      <c r="M57" s="100" t="n">
        <v>0</v>
      </c>
      <c r="N57" s="99" t="n">
        <v>0</v>
      </c>
      <c r="O57" s="99" t="n">
        <v>0</v>
      </c>
      <c r="P57" s="101" t="n">
        <v>0</v>
      </c>
      <c r="Q57" s="102">
        <f>SUM(E57:P57)</f>
        <v/>
      </c>
      <c r="R57" s="103" t="n">
        <v>32</v>
      </c>
      <c r="S57" s="20">
        <f>Q57/R57</f>
        <v/>
      </c>
    </row>
    <row r="58" ht="12.75" customHeight="1" s="172">
      <c r="A58" s="119" t="n"/>
      <c r="B58" s="120" t="n"/>
      <c r="C58" s="117" t="inlineStr">
        <is>
          <t>K through Three</t>
        </is>
      </c>
      <c r="D58" s="99" t="n"/>
      <c r="E58" s="100" t="n">
        <v>0</v>
      </c>
      <c r="F58" s="104" t="n">
        <v>4467</v>
      </c>
      <c r="G58" s="104" t="n">
        <v>6700</v>
      </c>
      <c r="H58" s="104" t="n">
        <v>0</v>
      </c>
      <c r="I58" s="104" t="n">
        <v>0</v>
      </c>
      <c r="J58" s="104" t="n">
        <v>0</v>
      </c>
      <c r="K58" s="104" t="n">
        <v>0</v>
      </c>
      <c r="L58" s="104" t="n">
        <v>0</v>
      </c>
      <c r="M58" s="104" t="n">
        <v>0</v>
      </c>
      <c r="N58" s="101" t="n">
        <v>0</v>
      </c>
      <c r="O58" s="101" t="n">
        <v>0</v>
      </c>
      <c r="P58" s="101" t="n">
        <v>0</v>
      </c>
      <c r="Q58" s="102">
        <f>SUM(E58:P58)</f>
        <v/>
      </c>
      <c r="R58" s="98">
        <f>$R$57</f>
        <v/>
      </c>
      <c r="S58" s="20">
        <f>Q58/R58</f>
        <v/>
      </c>
    </row>
    <row r="59" ht="12.75" customHeight="1" s="172">
      <c r="A59" s="119" t="n"/>
      <c r="B59" s="120" t="n"/>
      <c r="C59" s="117" t="inlineStr">
        <is>
          <t>Four through Six</t>
        </is>
      </c>
      <c r="D59" s="99" t="n"/>
      <c r="E59" s="100" t="n">
        <v>0</v>
      </c>
      <c r="F59" s="100" t="n">
        <v>2404</v>
      </c>
      <c r="G59" s="104" t="n">
        <v>3721</v>
      </c>
      <c r="H59" s="104" t="n">
        <v>0</v>
      </c>
      <c r="I59" s="104" t="n">
        <v>0</v>
      </c>
      <c r="J59" s="100" t="n">
        <v>0</v>
      </c>
      <c r="K59" s="104" t="n">
        <v>0</v>
      </c>
      <c r="L59" s="104" t="n">
        <v>0</v>
      </c>
      <c r="M59" s="104" t="n">
        <v>0</v>
      </c>
      <c r="N59" s="101" t="n">
        <v>0</v>
      </c>
      <c r="O59" s="101" t="n">
        <v>0</v>
      </c>
      <c r="P59" s="101" t="n">
        <v>0</v>
      </c>
      <c r="Q59" s="102">
        <f>SUM(E59:P59)</f>
        <v/>
      </c>
      <c r="R59" s="98">
        <f>$R$57</f>
        <v/>
      </c>
      <c r="S59" s="20">
        <f>Q59/R59</f>
        <v/>
      </c>
    </row>
    <row r="60" ht="12.75" customHeight="1" s="172">
      <c r="A60" s="119" t="n"/>
      <c r="B60" s="120" t="n"/>
      <c r="C60" s="117" t="inlineStr">
        <is>
          <t>Seven through Eight</t>
        </is>
      </c>
      <c r="D60" s="99" t="n"/>
      <c r="E60" s="100" t="n">
        <v>0</v>
      </c>
      <c r="F60" s="99" t="n">
        <v>0</v>
      </c>
      <c r="G60" s="104" t="n">
        <v>0</v>
      </c>
      <c r="H60" s="100" t="n">
        <v>0</v>
      </c>
      <c r="I60" s="104" t="n">
        <v>0</v>
      </c>
      <c r="J60" s="100" t="n">
        <v>0</v>
      </c>
      <c r="K60" s="104" t="n">
        <v>0</v>
      </c>
      <c r="L60" s="100" t="n">
        <v>0</v>
      </c>
      <c r="M60" s="104" t="n">
        <v>0</v>
      </c>
      <c r="N60" s="99" t="n">
        <v>0</v>
      </c>
      <c r="O60" s="101" t="n">
        <v>0</v>
      </c>
      <c r="P60" s="101" t="n">
        <v>0</v>
      </c>
      <c r="Q60" s="102">
        <f>SUM(E60:P60)</f>
        <v/>
      </c>
      <c r="R60" s="98">
        <f>$R$57</f>
        <v/>
      </c>
      <c r="S60" s="20">
        <f>Q60/R60</f>
        <v/>
      </c>
    </row>
    <row r="61" ht="12.75" customHeight="1" s="172">
      <c r="A61" s="119" t="n"/>
      <c r="B61" s="120" t="n"/>
      <c r="C61" s="117" t="inlineStr">
        <is>
          <t>Nine through Twelve</t>
        </is>
      </c>
      <c r="D61" s="99" t="n"/>
      <c r="E61" s="105" t="n">
        <v>0</v>
      </c>
      <c r="F61" s="106" t="n">
        <v>0</v>
      </c>
      <c r="G61" s="105" t="n">
        <v>0</v>
      </c>
      <c r="H61" s="106" t="n">
        <v>0</v>
      </c>
      <c r="I61" s="105" t="n">
        <v>0</v>
      </c>
      <c r="J61" s="106" t="n">
        <v>0</v>
      </c>
      <c r="K61" s="100" t="n">
        <v>0</v>
      </c>
      <c r="L61" s="106" t="n">
        <v>0</v>
      </c>
      <c r="M61" s="100" t="n">
        <v>0</v>
      </c>
      <c r="N61" s="106" t="n">
        <v>0</v>
      </c>
      <c r="O61" s="99" t="n">
        <v>0</v>
      </c>
      <c r="P61" s="99" t="n">
        <v>0</v>
      </c>
      <c r="Q61" s="102">
        <f>SUM(E61:P61)</f>
        <v/>
      </c>
      <c r="R61" s="98">
        <f>$R$57</f>
        <v/>
      </c>
      <c r="S61" s="20">
        <f>Q61/R61</f>
        <v/>
      </c>
    </row>
    <row r="62" ht="12.75" customHeight="1" s="172">
      <c r="A62" s="136" t="n"/>
      <c r="B62" s="131" t="n"/>
      <c r="C62" s="118" t="n"/>
      <c r="D62" s="21" t="inlineStr">
        <is>
          <t>Total - Program C</t>
        </is>
      </c>
      <c r="E62" s="108">
        <f>SUM(E57:E61)</f>
        <v/>
      </c>
      <c r="F62" s="108">
        <f>SUM(F57:F61)</f>
        <v/>
      </c>
      <c r="G62" s="108">
        <f>SUM(G57:G61)</f>
        <v/>
      </c>
      <c r="H62" s="108">
        <f>SUM(H57:H61)</f>
        <v/>
      </c>
      <c r="I62" s="108">
        <f>SUM(I57:I61)</f>
        <v/>
      </c>
      <c r="J62" s="108">
        <f>SUM(J57:J61)</f>
        <v/>
      </c>
      <c r="K62" s="108">
        <f>SUM(K57:K61)</f>
        <v/>
      </c>
      <c r="L62" s="108">
        <f>SUM(L57:L61)</f>
        <v/>
      </c>
      <c r="M62" s="108">
        <f>SUM(M57:M61)</f>
        <v/>
      </c>
      <c r="N62" s="108">
        <f>SUM(N57:N61)</f>
        <v/>
      </c>
      <c r="O62" s="108">
        <f>SUM(O57:O61)</f>
        <v/>
      </c>
      <c r="P62" s="108">
        <f>SUM(P57:P61)</f>
        <v/>
      </c>
      <c r="Q62" s="102">
        <f>SUM(E62:P62)</f>
        <v/>
      </c>
      <c r="R62" s="98">
        <f>$R$57</f>
        <v/>
      </c>
      <c r="S62" s="22">
        <f>Q62/R62</f>
        <v/>
      </c>
    </row>
    <row r="63" hidden="1" ht="12.75" customFormat="1" customHeight="1" s="166">
      <c r="A63" s="122" t="n"/>
      <c r="B63" s="123" t="n"/>
      <c r="C63" s="124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7" t="n"/>
      <c r="R63" s="128" t="n"/>
      <c r="S63" s="129" t="n"/>
    </row>
    <row r="64" ht="12.75" customFormat="1" customHeight="1" s="166">
      <c r="A64" s="92" t="n"/>
      <c r="B64" s="130" t="inlineStr">
        <is>
          <t>IS Resident (J)</t>
        </is>
      </c>
      <c r="C64" s="165" t="inlineStr">
        <is>
          <t>Grade Range:</t>
        </is>
      </c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7" t="n"/>
      <c r="R64" s="128" t="n"/>
      <c r="S64" s="129" t="n"/>
    </row>
    <row r="65" ht="12.75" customHeight="1" s="172">
      <c r="A65" s="119" t="n"/>
      <c r="B65" s="120" t="n"/>
      <c r="C65" s="117" t="inlineStr">
        <is>
          <t>TK</t>
        </is>
      </c>
      <c r="D65" s="99" t="n"/>
      <c r="E65" s="99" t="n">
        <v>0</v>
      </c>
      <c r="F65" s="99" t="n">
        <v>0</v>
      </c>
      <c r="G65" s="99" t="n">
        <v>0</v>
      </c>
      <c r="H65" s="99" t="n">
        <v>0</v>
      </c>
      <c r="I65" s="99" t="n">
        <v>0</v>
      </c>
      <c r="J65" s="99" t="n">
        <v>0</v>
      </c>
      <c r="K65" s="99" t="n">
        <v>0</v>
      </c>
      <c r="L65" s="99" t="n">
        <v>0</v>
      </c>
      <c r="M65" s="99" t="n">
        <v>0</v>
      </c>
      <c r="N65" s="99" t="n">
        <v>0</v>
      </c>
      <c r="O65" s="99" t="n">
        <v>0</v>
      </c>
      <c r="P65" s="99" t="n">
        <v>0</v>
      </c>
      <c r="Q65" s="102">
        <f>SUM(E65:P65)</f>
        <v/>
      </c>
      <c r="R65" s="98">
        <f>$R$57</f>
        <v/>
      </c>
      <c r="S65" s="20">
        <f>Q65/R65</f>
        <v/>
      </c>
    </row>
    <row r="66" ht="12.75" customHeight="1" s="172">
      <c r="A66" s="119" t="n"/>
      <c r="B66" s="120" t="n"/>
      <c r="C66" s="117" t="inlineStr">
        <is>
          <t>K through Three</t>
        </is>
      </c>
      <c r="D66" s="99" t="n"/>
      <c r="E66" s="99" t="n">
        <v>0</v>
      </c>
      <c r="F66" s="99" t="n">
        <v>40</v>
      </c>
      <c r="G66" s="99" t="n">
        <v>41</v>
      </c>
      <c r="H66" s="99" t="n">
        <v>0</v>
      </c>
      <c r="I66" s="99" t="n">
        <v>0</v>
      </c>
      <c r="J66" s="99" t="n">
        <v>0</v>
      </c>
      <c r="K66" s="99" t="n">
        <v>0</v>
      </c>
      <c r="L66" s="99" t="n">
        <v>0</v>
      </c>
      <c r="M66" s="99" t="n">
        <v>0</v>
      </c>
      <c r="N66" s="99" t="n">
        <v>0</v>
      </c>
      <c r="O66" s="99" t="n">
        <v>0</v>
      </c>
      <c r="P66" s="99" t="n">
        <v>0</v>
      </c>
      <c r="Q66" s="102">
        <f>SUM(E66:P66)</f>
        <v/>
      </c>
      <c r="R66" s="98">
        <f>$R$57</f>
        <v/>
      </c>
      <c r="S66" s="20">
        <f>Q66/R66</f>
        <v/>
      </c>
    </row>
    <row r="67" ht="12.75" customHeight="1" s="172">
      <c r="A67" s="119" t="n"/>
      <c r="B67" s="120" t="n"/>
      <c r="C67" s="117" t="inlineStr">
        <is>
          <t>Four through Six</t>
        </is>
      </c>
      <c r="D67" s="99" t="n"/>
      <c r="E67" s="99" t="n">
        <v>0</v>
      </c>
      <c r="F67" s="99" t="n">
        <v>6</v>
      </c>
      <c r="G67" s="99" t="n">
        <v>56</v>
      </c>
      <c r="H67" s="99" t="n">
        <v>0</v>
      </c>
      <c r="I67" s="99" t="n">
        <v>0</v>
      </c>
      <c r="J67" s="99" t="n">
        <v>0</v>
      </c>
      <c r="K67" s="99" t="n">
        <v>0</v>
      </c>
      <c r="L67" s="99" t="n">
        <v>0</v>
      </c>
      <c r="M67" s="99" t="n">
        <v>0</v>
      </c>
      <c r="N67" s="99" t="n">
        <v>0</v>
      </c>
      <c r="O67" s="99" t="n">
        <v>0</v>
      </c>
      <c r="P67" s="99" t="n">
        <v>0</v>
      </c>
      <c r="Q67" s="102">
        <f>SUM(E67:P67)</f>
        <v/>
      </c>
      <c r="R67" s="98">
        <f>$R$57</f>
        <v/>
      </c>
      <c r="S67" s="20">
        <f>Q67/R67</f>
        <v/>
      </c>
    </row>
    <row r="68" ht="12.75" customHeight="1" s="172">
      <c r="A68" s="119" t="n"/>
      <c r="B68" s="120" t="n"/>
      <c r="C68" s="117" t="inlineStr">
        <is>
          <t>Seven through Eight</t>
        </is>
      </c>
      <c r="D68" s="99" t="n"/>
      <c r="E68" s="99" t="n">
        <v>0</v>
      </c>
      <c r="F68" s="99" t="n">
        <v>0</v>
      </c>
      <c r="G68" s="99" t="n">
        <v>0</v>
      </c>
      <c r="H68" s="99" t="n">
        <v>0</v>
      </c>
      <c r="I68" s="99" t="n">
        <v>0</v>
      </c>
      <c r="J68" s="99" t="n">
        <v>0</v>
      </c>
      <c r="K68" s="99" t="n">
        <v>0</v>
      </c>
      <c r="L68" s="99" t="n">
        <v>0</v>
      </c>
      <c r="M68" s="99" t="n">
        <v>0</v>
      </c>
      <c r="N68" s="99" t="n">
        <v>0</v>
      </c>
      <c r="O68" s="99" t="n">
        <v>0</v>
      </c>
      <c r="P68" s="99" t="n">
        <v>0</v>
      </c>
      <c r="Q68" s="102">
        <f>SUM(E68:P68)</f>
        <v/>
      </c>
      <c r="R68" s="98">
        <f>$R$57</f>
        <v/>
      </c>
      <c r="S68" s="20">
        <f>Q68/R68</f>
        <v/>
      </c>
    </row>
    <row r="69" ht="12.75" customHeight="1" s="172">
      <c r="A69" s="119" t="n"/>
      <c r="B69" s="120" t="n"/>
      <c r="C69" s="117" t="inlineStr">
        <is>
          <t>Nine through Twelve</t>
        </is>
      </c>
      <c r="D69" s="99" t="n"/>
      <c r="E69" s="99" t="n">
        <v>0</v>
      </c>
      <c r="F69" s="99" t="n">
        <v>0</v>
      </c>
      <c r="G69" s="99" t="n">
        <v>0</v>
      </c>
      <c r="H69" s="99" t="n">
        <v>0</v>
      </c>
      <c r="I69" s="99" t="n">
        <v>0</v>
      </c>
      <c r="J69" s="99" t="n">
        <v>0</v>
      </c>
      <c r="K69" s="99" t="n">
        <v>0</v>
      </c>
      <c r="L69" s="99" t="n">
        <v>0</v>
      </c>
      <c r="M69" s="99" t="n">
        <v>0</v>
      </c>
      <c r="N69" s="99" t="n">
        <v>0</v>
      </c>
      <c r="O69" s="99" t="n">
        <v>0</v>
      </c>
      <c r="P69" s="99" t="n">
        <v>0</v>
      </c>
      <c r="Q69" s="102">
        <f>SUM(E69:P69)</f>
        <v/>
      </c>
      <c r="R69" s="98">
        <f>$R$57</f>
        <v/>
      </c>
      <c r="S69" s="20">
        <f>Q69/R69</f>
        <v/>
      </c>
    </row>
    <row r="70" ht="12.75" customHeight="1" s="172">
      <c r="A70" s="136" t="n"/>
      <c r="B70" s="131" t="n"/>
      <c r="C70" s="118" t="n"/>
      <c r="D70" s="21" t="inlineStr">
        <is>
          <t>Total - Program J</t>
        </is>
      </c>
      <c r="E70" s="108">
        <f>SUM(E64:E69)</f>
        <v/>
      </c>
      <c r="F70" s="108">
        <f>SUM(F64:F69)</f>
        <v/>
      </c>
      <c r="G70" s="108">
        <f>SUM(G64:G69)</f>
        <v/>
      </c>
      <c r="H70" s="108">
        <f>SUM(H64:H69)</f>
        <v/>
      </c>
      <c r="I70" s="108">
        <f>SUM(I64:I69)</f>
        <v/>
      </c>
      <c r="J70" s="108">
        <f>SUM(J64:J69)</f>
        <v/>
      </c>
      <c r="K70" s="108">
        <f>SUM(K64:K69)</f>
        <v/>
      </c>
      <c r="L70" s="108">
        <f>SUM(L64:L69)</f>
        <v/>
      </c>
      <c r="M70" s="108">
        <f>SUM(M64:M69)</f>
        <v/>
      </c>
      <c r="N70" s="108">
        <f>SUM(N64:N69)</f>
        <v/>
      </c>
      <c r="O70" s="108">
        <f>SUM(O64:O69)</f>
        <v/>
      </c>
      <c r="P70" s="108">
        <f>SUM(P64:P69)</f>
        <v/>
      </c>
      <c r="Q70" s="102">
        <f>SUM(E70:P70)</f>
        <v/>
      </c>
      <c r="R70" s="98">
        <f>$R$57</f>
        <v/>
      </c>
      <c r="S70" s="22">
        <f>Q70/R70</f>
        <v/>
      </c>
    </row>
    <row r="71" hidden="1" ht="12.75" customHeight="1" s="172">
      <c r="A71" s="122" t="n"/>
      <c r="B71" s="123" t="n"/>
      <c r="C71" s="124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7" t="n"/>
      <c r="R71" s="128" t="n"/>
      <c r="S71" s="129" t="n"/>
    </row>
    <row r="72" ht="12.75" customHeight="1" s="172">
      <c r="A72" s="131" t="n"/>
      <c r="B72" s="130" t="inlineStr">
        <is>
          <t>Non-Resident (N):</t>
        </is>
      </c>
      <c r="C72" s="165" t="inlineStr">
        <is>
          <t>Grade Range:</t>
        </is>
      </c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7" t="n"/>
      <c r="R72" s="128" t="n"/>
      <c r="S72" s="129" t="n"/>
    </row>
    <row r="73" hidden="1" ht="12.75" customHeight="1" s="172">
      <c r="A73" s="122" t="n"/>
      <c r="B73" s="123" t="n"/>
      <c r="C73" s="124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7" t="n"/>
      <c r="R73" s="128" t="n"/>
      <c r="S73" s="129" t="n"/>
    </row>
    <row r="74" ht="12.75" customHeight="1" s="172">
      <c r="A74" s="119" t="n"/>
      <c r="B74" s="120" t="n"/>
      <c r="C74" s="117" t="inlineStr">
        <is>
          <t>TK</t>
        </is>
      </c>
      <c r="D74" s="99" t="n"/>
      <c r="E74" s="100" t="n">
        <v>0</v>
      </c>
      <c r="F74" s="100" t="n">
        <v>706</v>
      </c>
      <c r="G74" s="100" t="n">
        <v>1003</v>
      </c>
      <c r="H74" s="100" t="n">
        <v>0</v>
      </c>
      <c r="I74" s="100" t="n">
        <v>0</v>
      </c>
      <c r="J74" s="100" t="n">
        <v>0</v>
      </c>
      <c r="K74" s="100" t="n">
        <v>0</v>
      </c>
      <c r="L74" s="100" t="n">
        <v>0</v>
      </c>
      <c r="M74" s="100" t="n">
        <v>0</v>
      </c>
      <c r="N74" s="99" t="n">
        <v>0</v>
      </c>
      <c r="O74" s="99" t="n">
        <v>0</v>
      </c>
      <c r="P74" s="99" t="n">
        <v>0</v>
      </c>
      <c r="Q74" s="102">
        <f>SUM(E74:P74)</f>
        <v/>
      </c>
      <c r="R74" s="98">
        <f>$R$57</f>
        <v/>
      </c>
      <c r="S74" s="20">
        <f>Q74/R74</f>
        <v/>
      </c>
    </row>
    <row r="75" ht="12.75" customHeight="1" s="172">
      <c r="A75" s="119" t="n"/>
      <c r="B75" s="120" t="n"/>
      <c r="C75" s="117" t="inlineStr">
        <is>
          <t>K through Three</t>
        </is>
      </c>
      <c r="D75" s="99" t="n"/>
      <c r="E75" s="100" t="n">
        <v>0</v>
      </c>
      <c r="F75" s="100" t="n">
        <v>5936</v>
      </c>
      <c r="G75" s="104" t="n">
        <v>8933</v>
      </c>
      <c r="H75" s="100" t="n">
        <v>0</v>
      </c>
      <c r="I75" s="104" t="n">
        <v>0</v>
      </c>
      <c r="J75" s="100" t="n">
        <v>0</v>
      </c>
      <c r="K75" s="104" t="n">
        <v>0</v>
      </c>
      <c r="L75" s="100" t="n">
        <v>0</v>
      </c>
      <c r="M75" s="104" t="n">
        <v>0</v>
      </c>
      <c r="N75" s="99" t="n">
        <v>0</v>
      </c>
      <c r="O75" s="101" t="n">
        <v>0</v>
      </c>
      <c r="P75" s="99" t="n">
        <v>0</v>
      </c>
      <c r="Q75" s="102">
        <f>SUM(E75:P75)</f>
        <v/>
      </c>
      <c r="R75" s="98">
        <f>$R$57</f>
        <v/>
      </c>
      <c r="S75" s="20">
        <f>Q75/R75</f>
        <v/>
      </c>
    </row>
    <row r="76" ht="12.75" customHeight="1" s="172">
      <c r="A76" s="119" t="n"/>
      <c r="B76" s="120" t="n"/>
      <c r="C76" s="117" t="inlineStr">
        <is>
          <t>Four through Six</t>
        </is>
      </c>
      <c r="D76" s="99" t="n"/>
      <c r="E76" s="100" t="n">
        <v>0</v>
      </c>
      <c r="F76" s="104" t="n">
        <v>3260</v>
      </c>
      <c r="G76" s="104" t="n">
        <v>4778</v>
      </c>
      <c r="H76" s="104" t="n">
        <v>0</v>
      </c>
      <c r="I76" s="104" t="n">
        <v>0</v>
      </c>
      <c r="J76" s="104" t="n">
        <v>0</v>
      </c>
      <c r="K76" s="104" t="n">
        <v>0</v>
      </c>
      <c r="L76" s="100" t="n">
        <v>0</v>
      </c>
      <c r="M76" s="104" t="n">
        <v>0</v>
      </c>
      <c r="N76" s="99" t="n">
        <v>0</v>
      </c>
      <c r="O76" s="101" t="n">
        <v>0</v>
      </c>
      <c r="P76" s="99" t="n">
        <v>0</v>
      </c>
      <c r="Q76" s="102">
        <f>SUM(E76:P76)</f>
        <v/>
      </c>
      <c r="R76" s="98">
        <f>$R$57</f>
        <v/>
      </c>
      <c r="S76" s="20">
        <f>Q76/R76</f>
        <v/>
      </c>
    </row>
    <row r="77" ht="12.75" customHeight="1" s="172">
      <c r="A77" s="119" t="n"/>
      <c r="B77" s="120" t="n"/>
      <c r="C77" s="117" t="inlineStr">
        <is>
          <t>Seven through Eight</t>
        </is>
      </c>
      <c r="D77" s="99" t="n"/>
      <c r="E77" s="100" t="n">
        <v>0</v>
      </c>
      <c r="F77" s="101" t="n">
        <v>0</v>
      </c>
      <c r="G77" s="104" t="n">
        <v>0</v>
      </c>
      <c r="H77" s="104" t="n">
        <v>0</v>
      </c>
      <c r="I77" s="104" t="n">
        <v>0</v>
      </c>
      <c r="J77" s="104" t="n">
        <v>0</v>
      </c>
      <c r="K77" s="104" t="n">
        <v>0</v>
      </c>
      <c r="L77" s="100" t="n">
        <v>0</v>
      </c>
      <c r="M77" s="104" t="n">
        <v>0</v>
      </c>
      <c r="N77" s="99" t="n">
        <v>0</v>
      </c>
      <c r="O77" s="101" t="n">
        <v>0</v>
      </c>
      <c r="P77" s="99" t="n">
        <v>0</v>
      </c>
      <c r="Q77" s="102">
        <f>SUM(E77:P77)</f>
        <v/>
      </c>
      <c r="R77" s="98">
        <f>$R$57</f>
        <v/>
      </c>
      <c r="S77" s="20">
        <f>Q77/R77</f>
        <v/>
      </c>
    </row>
    <row r="78" ht="12.75" customHeight="1" s="172">
      <c r="A78" s="119" t="n"/>
      <c r="B78" s="120" t="n"/>
      <c r="C78" s="117" t="inlineStr">
        <is>
          <t>Nine through Twelve</t>
        </is>
      </c>
      <c r="D78" s="99" t="n"/>
      <c r="E78" s="105" t="n">
        <v>0</v>
      </c>
      <c r="F78" s="109" t="n">
        <v>0</v>
      </c>
      <c r="G78" s="105" t="n">
        <v>0</v>
      </c>
      <c r="H78" s="109" t="n">
        <v>0</v>
      </c>
      <c r="I78" s="105" t="n">
        <v>0</v>
      </c>
      <c r="J78" s="109" t="n">
        <v>0</v>
      </c>
      <c r="K78" s="100" t="n">
        <v>0</v>
      </c>
      <c r="L78" s="101" t="n">
        <v>0</v>
      </c>
      <c r="M78" s="100" t="n">
        <v>0</v>
      </c>
      <c r="N78" s="101" t="n">
        <v>0</v>
      </c>
      <c r="O78" s="99" t="n">
        <v>0</v>
      </c>
      <c r="P78" s="101" t="n">
        <v>0</v>
      </c>
      <c r="Q78" s="102">
        <f>SUM(E78:P78)</f>
        <v/>
      </c>
      <c r="R78" s="98">
        <f>$R$57</f>
        <v/>
      </c>
      <c r="S78" s="20">
        <f>Q78/R78</f>
        <v/>
      </c>
    </row>
    <row r="79" ht="12.75" customHeight="1" s="172">
      <c r="A79" s="136" t="n"/>
      <c r="B79" s="131" t="n"/>
      <c r="C79" s="118" t="n"/>
      <c r="D79" s="21" t="inlineStr">
        <is>
          <t>Total - Program N</t>
        </is>
      </c>
      <c r="E79" s="108">
        <f>SUM(E74:E78)</f>
        <v/>
      </c>
      <c r="F79" s="108">
        <f>SUM(F74:F78)</f>
        <v/>
      </c>
      <c r="G79" s="108">
        <f>SUM(G74:G78)</f>
        <v/>
      </c>
      <c r="H79" s="108">
        <f>SUM(H74:H78)</f>
        <v/>
      </c>
      <c r="I79" s="108">
        <f>SUM(I74:I78)</f>
        <v/>
      </c>
      <c r="J79" s="108">
        <f>SUM(J74:J78)</f>
        <v/>
      </c>
      <c r="K79" s="108">
        <f>SUM(K74:K78)</f>
        <v/>
      </c>
      <c r="L79" s="108">
        <f>SUM(L74:L78)</f>
        <v/>
      </c>
      <c r="M79" s="108">
        <f>SUM(M74:M78)</f>
        <v/>
      </c>
      <c r="N79" s="108">
        <f>SUM(N74:N78)</f>
        <v/>
      </c>
      <c r="O79" s="108">
        <f>SUM(O74:O78)</f>
        <v/>
      </c>
      <c r="P79" s="108">
        <f>SUM(P74:P78)</f>
        <v/>
      </c>
      <c r="Q79" s="102">
        <f>SUM(E79:P79)</f>
        <v/>
      </c>
      <c r="R79" s="98">
        <f>$R$57</f>
        <v/>
      </c>
      <c r="S79" s="22">
        <f>Q79/R79</f>
        <v/>
      </c>
    </row>
    <row r="80" hidden="1" ht="12.75" customHeight="1" s="172">
      <c r="A80" s="122" t="n"/>
      <c r="B80" s="123" t="n"/>
      <c r="C80" s="124" t="n"/>
      <c r="D80" s="125" t="n"/>
      <c r="E80" s="125" t="n"/>
      <c r="F80" s="126" t="n"/>
      <c r="G80" s="126" t="n"/>
      <c r="H80" s="126" t="n"/>
      <c r="I80" s="126" t="n"/>
      <c r="J80" s="126" t="n"/>
      <c r="K80" s="126" t="n"/>
      <c r="L80" s="126" t="n"/>
      <c r="M80" s="126" t="n"/>
      <c r="N80" s="126" t="n"/>
      <c r="O80" s="125" t="n"/>
      <c r="P80" s="126" t="n"/>
      <c r="Q80" s="127" t="n"/>
      <c r="R80" s="128" t="n"/>
      <c r="S80" s="129" t="n"/>
    </row>
    <row r="81" ht="12.75" customHeight="1" s="172">
      <c r="A81" s="131" t="n"/>
      <c r="B81" s="130" t="inlineStr">
        <is>
          <t>IS Non-Resident (K)</t>
        </is>
      </c>
      <c r="C81" s="165" t="inlineStr">
        <is>
          <t>Grade Range:</t>
        </is>
      </c>
      <c r="D81" s="125" t="n"/>
      <c r="E81" s="125" t="n"/>
      <c r="F81" s="126" t="n"/>
      <c r="G81" s="125" t="n"/>
      <c r="H81" s="126" t="n"/>
      <c r="I81" s="125" t="n"/>
      <c r="J81" s="126" t="n"/>
      <c r="K81" s="125" t="n"/>
      <c r="L81" s="126" t="n"/>
      <c r="M81" s="125" t="n"/>
      <c r="N81" s="126" t="n"/>
      <c r="O81" s="125" t="n"/>
      <c r="P81" s="126" t="n"/>
      <c r="Q81" s="127" t="n"/>
      <c r="R81" s="128" t="n"/>
      <c r="S81" s="129" t="n"/>
    </row>
    <row r="82" ht="12.75" customHeight="1" s="172">
      <c r="A82" s="119" t="n"/>
      <c r="B82" s="120" t="n"/>
      <c r="C82" s="117" t="inlineStr">
        <is>
          <t>TK</t>
        </is>
      </c>
      <c r="D82" s="99" t="n"/>
      <c r="E82" s="99" t="n">
        <v>0</v>
      </c>
      <c r="F82" s="101" t="n">
        <v>22</v>
      </c>
      <c r="G82" s="99" t="n">
        <v>9</v>
      </c>
      <c r="H82" s="101" t="n">
        <v>0</v>
      </c>
      <c r="I82" s="99" t="n">
        <v>0</v>
      </c>
      <c r="J82" s="101" t="n">
        <v>0</v>
      </c>
      <c r="K82" s="99" t="n">
        <v>0</v>
      </c>
      <c r="L82" s="101" t="n">
        <v>0</v>
      </c>
      <c r="M82" s="99" t="n">
        <v>0</v>
      </c>
      <c r="N82" s="101" t="n">
        <v>0</v>
      </c>
      <c r="O82" s="99" t="n">
        <v>0</v>
      </c>
      <c r="P82" s="101" t="n">
        <v>0</v>
      </c>
      <c r="Q82" s="102">
        <f>SUM(E82:P82)</f>
        <v/>
      </c>
      <c r="R82" s="98">
        <f>$R$57</f>
        <v/>
      </c>
      <c r="S82" s="20">
        <f>Q82/R82</f>
        <v/>
      </c>
    </row>
    <row r="83" ht="12.75" customHeight="1" s="172">
      <c r="A83" s="119" t="n"/>
      <c r="B83" s="120" t="n"/>
      <c r="C83" s="117" t="inlineStr">
        <is>
          <t>K through Three</t>
        </is>
      </c>
      <c r="D83" s="99" t="n"/>
      <c r="E83" s="99" t="n">
        <v>0</v>
      </c>
      <c r="F83" s="101" t="n">
        <v>42</v>
      </c>
      <c r="G83" s="99" t="n">
        <v>136</v>
      </c>
      <c r="H83" s="101" t="n">
        <v>0</v>
      </c>
      <c r="I83" s="99" t="n">
        <v>0</v>
      </c>
      <c r="J83" s="101" t="n">
        <v>0</v>
      </c>
      <c r="K83" s="99" t="n">
        <v>0</v>
      </c>
      <c r="L83" s="101" t="n">
        <v>0</v>
      </c>
      <c r="M83" s="99" t="n">
        <v>0</v>
      </c>
      <c r="N83" s="101" t="n">
        <v>0</v>
      </c>
      <c r="O83" s="99" t="n">
        <v>0</v>
      </c>
      <c r="P83" s="101" t="n">
        <v>0</v>
      </c>
      <c r="Q83" s="102">
        <f>SUM(E83:P83)</f>
        <v/>
      </c>
      <c r="R83" s="98">
        <f>$R$57</f>
        <v/>
      </c>
      <c r="S83" s="20">
        <f>Q83/R83</f>
        <v/>
      </c>
    </row>
    <row r="84" ht="12.75" customHeight="1" s="172">
      <c r="A84" s="119" t="n"/>
      <c r="B84" s="120" t="n"/>
      <c r="C84" s="117" t="inlineStr">
        <is>
          <t>Four through Six</t>
        </is>
      </c>
      <c r="D84" s="99" t="n"/>
      <c r="E84" s="99" t="n">
        <v>0</v>
      </c>
      <c r="F84" s="101" t="n">
        <v>30</v>
      </c>
      <c r="G84" s="99" t="n">
        <v>48</v>
      </c>
      <c r="H84" s="101" t="n">
        <v>0</v>
      </c>
      <c r="I84" s="99" t="n">
        <v>0</v>
      </c>
      <c r="J84" s="101" t="n">
        <v>0</v>
      </c>
      <c r="K84" s="99" t="n">
        <v>0</v>
      </c>
      <c r="L84" s="101" t="n">
        <v>0</v>
      </c>
      <c r="M84" s="99" t="n">
        <v>0</v>
      </c>
      <c r="N84" s="101" t="n">
        <v>0</v>
      </c>
      <c r="O84" s="99" t="n">
        <v>0</v>
      </c>
      <c r="P84" s="101" t="n">
        <v>0</v>
      </c>
      <c r="Q84" s="102">
        <f>SUM(E84:P84)</f>
        <v/>
      </c>
      <c r="R84" s="98">
        <f>$R$57</f>
        <v/>
      </c>
      <c r="S84" s="20">
        <f>Q84/R84</f>
        <v/>
      </c>
    </row>
    <row r="85" ht="12.75" customHeight="1" s="172">
      <c r="A85" s="119" t="n"/>
      <c r="B85" s="120" t="n"/>
      <c r="C85" s="117" t="inlineStr">
        <is>
          <t>Seven through Eight</t>
        </is>
      </c>
      <c r="D85" s="99" t="n"/>
      <c r="E85" s="99" t="n">
        <v>0</v>
      </c>
      <c r="F85" s="101" t="n">
        <v>0</v>
      </c>
      <c r="G85" s="99" t="n">
        <v>0</v>
      </c>
      <c r="H85" s="99" t="n">
        <v>0</v>
      </c>
      <c r="I85" s="99" t="n">
        <v>0</v>
      </c>
      <c r="J85" s="99" t="n">
        <v>0</v>
      </c>
      <c r="K85" s="99" t="n">
        <v>0</v>
      </c>
      <c r="L85" s="99" t="n">
        <v>0</v>
      </c>
      <c r="M85" s="99" t="n">
        <v>0</v>
      </c>
      <c r="N85" s="99" t="n">
        <v>0</v>
      </c>
      <c r="O85" s="99" t="n">
        <v>0</v>
      </c>
      <c r="P85" s="99" t="n">
        <v>0</v>
      </c>
      <c r="Q85" s="102">
        <f>SUM(E85:P85)</f>
        <v/>
      </c>
      <c r="R85" s="98">
        <f>$R$57</f>
        <v/>
      </c>
      <c r="S85" s="20">
        <f>Q85/R85</f>
        <v/>
      </c>
    </row>
    <row r="86" ht="12.75" customHeight="1" s="172">
      <c r="A86" s="119" t="n"/>
      <c r="B86" s="120" t="n"/>
      <c r="C86" s="117" t="inlineStr">
        <is>
          <t>Nine through Twelve</t>
        </is>
      </c>
      <c r="D86" s="99" t="n"/>
      <c r="E86" s="99" t="n">
        <v>0</v>
      </c>
      <c r="F86" s="106" t="n">
        <v>0</v>
      </c>
      <c r="G86" s="99" t="n">
        <v>0</v>
      </c>
      <c r="H86" s="106" t="n">
        <v>0</v>
      </c>
      <c r="I86" s="99" t="n">
        <v>0</v>
      </c>
      <c r="J86" s="106" t="n">
        <v>0</v>
      </c>
      <c r="K86" s="99" t="n">
        <v>0</v>
      </c>
      <c r="L86" s="106" t="n">
        <v>0</v>
      </c>
      <c r="M86" s="99" t="n">
        <v>0</v>
      </c>
      <c r="N86" s="106" t="n">
        <v>0</v>
      </c>
      <c r="O86" s="99" t="n">
        <v>0</v>
      </c>
      <c r="P86" s="99" t="n">
        <v>0</v>
      </c>
      <c r="Q86" s="102">
        <f>SUM(E86:P86)</f>
        <v/>
      </c>
      <c r="R86" s="98">
        <f>$R$57</f>
        <v/>
      </c>
      <c r="S86" s="20">
        <f>Q86/R86</f>
        <v/>
      </c>
    </row>
    <row r="87" ht="12.75" customHeight="1" s="172">
      <c r="A87" s="136" t="n"/>
      <c r="B87" s="131" t="n"/>
      <c r="C87" s="107" t="n"/>
      <c r="D87" s="21" t="inlineStr">
        <is>
          <t>Total - Program K</t>
        </is>
      </c>
      <c r="E87" s="108" t="n">
        <v>0</v>
      </c>
      <c r="F87" s="108" t="n">
        <v>0</v>
      </c>
      <c r="G87" s="108" t="n">
        <v>0</v>
      </c>
      <c r="H87" s="108" t="n">
        <v>0</v>
      </c>
      <c r="I87" s="108" t="n">
        <v>0</v>
      </c>
      <c r="J87" s="108" t="n">
        <v>0</v>
      </c>
      <c r="K87" s="108" t="n">
        <v>0</v>
      </c>
      <c r="L87" s="108" t="n">
        <v>0</v>
      </c>
      <c r="M87" s="108" t="n">
        <v>0</v>
      </c>
      <c r="N87" s="108" t="n">
        <v>0</v>
      </c>
      <c r="O87" s="108" t="n">
        <v>0</v>
      </c>
      <c r="P87" s="108" t="n">
        <v>0</v>
      </c>
      <c r="Q87" s="102">
        <f>SUM(E87:P87)</f>
        <v/>
      </c>
      <c r="R87" s="98">
        <f>$R$57</f>
        <v/>
      </c>
      <c r="S87" s="22">
        <f>Q87/R87</f>
        <v/>
      </c>
    </row>
    <row r="88" hidden="1" ht="12.75" customHeight="1" s="172">
      <c r="A88" s="119" t="n"/>
      <c r="B88" s="120" t="n"/>
      <c r="C88" s="99" t="n"/>
      <c r="D88" s="99" t="n"/>
      <c r="E88" s="99" t="n"/>
      <c r="F88" s="101" t="n"/>
      <c r="G88" s="99" t="n"/>
      <c r="H88" s="101" t="n"/>
      <c r="I88" s="99" t="n"/>
      <c r="J88" s="101" t="n"/>
      <c r="K88" s="99" t="n"/>
      <c r="L88" s="101" t="n"/>
      <c r="M88" s="99" t="n"/>
      <c r="N88" s="101" t="n"/>
      <c r="O88" s="99" t="n"/>
      <c r="P88" s="101" t="n"/>
      <c r="Q88" s="99" t="n"/>
      <c r="R88" s="99" t="n"/>
      <c r="S88" s="23" t="n"/>
    </row>
    <row r="89" hidden="1" ht="12.75" customHeight="1" s="172">
      <c r="A89" s="119" t="n"/>
      <c r="B89" s="120" t="n"/>
      <c r="C89" s="99" t="n"/>
      <c r="D89" s="99" t="n"/>
      <c r="E89" s="99" t="n"/>
      <c r="F89" s="101" t="n"/>
      <c r="G89" s="99" t="n"/>
      <c r="H89" s="101" t="n"/>
      <c r="I89" s="99" t="n"/>
      <c r="J89" s="101" t="n"/>
      <c r="K89" s="99" t="n"/>
      <c r="L89" s="101" t="n"/>
      <c r="M89" s="99" t="n"/>
      <c r="N89" s="101" t="n"/>
      <c r="O89" s="99" t="n"/>
      <c r="P89" s="101" t="n"/>
      <c r="Q89" s="99" t="n"/>
      <c r="R89" s="99" t="n"/>
      <c r="S89" s="24" t="n"/>
    </row>
    <row r="90" hidden="1" ht="12.75" customHeight="1" s="172">
      <c r="A90" s="119" t="n"/>
      <c r="B90" s="120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23" t="n"/>
    </row>
    <row r="91" ht="12.75" customHeight="1" s="172">
      <c r="A91" s="119" t="n"/>
      <c r="B91" s="120" t="n"/>
      <c r="C91" s="121" t="n"/>
      <c r="D91" s="174" t="inlineStr">
        <is>
          <t>ADA Point Summary</t>
        </is>
      </c>
      <c r="E91" s="175" t="n"/>
      <c r="F91" s="175" t="n"/>
      <c r="G91" s="175" t="n"/>
      <c r="H91" s="175" t="n"/>
      <c r="I91" s="175" t="n"/>
      <c r="J91" s="175" t="n"/>
      <c r="K91" s="175" t="n"/>
      <c r="L91" s="121" t="n"/>
      <c r="M91" s="121" t="n"/>
      <c r="N91" s="121" t="n"/>
      <c r="O91" s="121" t="n"/>
      <c r="P91" s="121" t="n"/>
      <c r="Q91" s="121" t="n"/>
      <c r="R91" s="121" t="n"/>
      <c r="S91" s="144" t="n"/>
    </row>
    <row r="92" ht="12.75" customHeight="1" s="172">
      <c r="A92" s="119" t="n"/>
      <c r="B92" s="120" t="n"/>
      <c r="C92" s="131" t="n"/>
      <c r="D92" s="141" t="inlineStr">
        <is>
          <t>Grade Range</t>
        </is>
      </c>
      <c r="E92" s="97" t="inlineStr">
        <is>
          <t>Prg C</t>
        </is>
      </c>
      <c r="F92" s="97" t="inlineStr">
        <is>
          <t>Prg N</t>
        </is>
      </c>
      <c r="G92" s="110" t="inlineStr">
        <is>
          <t>Prg C+N</t>
        </is>
      </c>
      <c r="H92" s="97" t="inlineStr">
        <is>
          <t>Prg J</t>
        </is>
      </c>
      <c r="I92" s="97" t="inlineStr">
        <is>
          <t>Prg K</t>
        </is>
      </c>
      <c r="J92" s="110" t="inlineStr">
        <is>
          <t>Prg J+K</t>
        </is>
      </c>
      <c r="K92" s="111" t="n"/>
      <c r="L92" s="131" t="n"/>
      <c r="M92" s="131" t="n"/>
      <c r="N92" s="131" t="n"/>
      <c r="O92" s="131" t="n"/>
      <c r="P92" s="121" t="n"/>
      <c r="Q92" s="121" t="n"/>
      <c r="R92" s="121" t="n"/>
      <c r="S92" s="144" t="n"/>
    </row>
    <row r="93" ht="12.75" customHeight="1" s="172">
      <c r="A93" s="119" t="n"/>
      <c r="B93" s="120" t="n"/>
      <c r="C93" s="142" t="n"/>
      <c r="D93" s="117" t="inlineStr">
        <is>
          <t>TK</t>
        </is>
      </c>
      <c r="E93" s="112">
        <f>S57</f>
        <v/>
      </c>
      <c r="F93" s="112">
        <f>S74</f>
        <v/>
      </c>
      <c r="G93" s="113">
        <f>E93+F93</f>
        <v/>
      </c>
      <c r="H93" s="112">
        <f>S65</f>
        <v/>
      </c>
      <c r="I93" s="112">
        <f>S82</f>
        <v/>
      </c>
      <c r="J93" s="113">
        <f>H93+I93</f>
        <v/>
      </c>
      <c r="K93" s="114">
        <f>G93+J93</f>
        <v/>
      </c>
      <c r="L93" s="131" t="n"/>
      <c r="M93" s="131" t="n"/>
      <c r="N93" s="131" t="n"/>
      <c r="O93" s="131" t="n"/>
      <c r="P93" s="121" t="n"/>
      <c r="Q93" s="121" t="n"/>
      <c r="R93" s="121" t="n"/>
      <c r="S93" s="144" t="n"/>
    </row>
    <row r="94" ht="12.75" customHeight="1" s="172">
      <c r="A94" s="119" t="n"/>
      <c r="B94" s="120" t="n"/>
      <c r="C94" s="142" t="n"/>
      <c r="D94" s="117" t="inlineStr">
        <is>
          <t>K through Three</t>
        </is>
      </c>
      <c r="E94" s="112">
        <f>S58</f>
        <v/>
      </c>
      <c r="F94" s="112">
        <f>S75</f>
        <v/>
      </c>
      <c r="G94" s="113">
        <f>E94+F94</f>
        <v/>
      </c>
      <c r="H94" s="112">
        <f>S66</f>
        <v/>
      </c>
      <c r="I94" s="112">
        <f>S83</f>
        <v/>
      </c>
      <c r="J94" s="113">
        <f>H94+I94</f>
        <v/>
      </c>
      <c r="K94" s="114">
        <f>G94+J94</f>
        <v/>
      </c>
      <c r="L94" s="131" t="n"/>
      <c r="M94" s="131" t="n"/>
      <c r="N94" s="131" t="n"/>
      <c r="O94" s="131" t="n"/>
      <c r="P94" s="121" t="n"/>
      <c r="Q94" s="121" t="n"/>
      <c r="R94" s="121" t="n"/>
      <c r="S94" s="144" t="n"/>
    </row>
    <row r="95" ht="12.75" customHeight="1" s="172">
      <c r="A95" s="119" t="n"/>
      <c r="B95" s="120" t="n"/>
      <c r="C95" s="142" t="n"/>
      <c r="D95" s="117" t="inlineStr">
        <is>
          <t>Four through Six</t>
        </is>
      </c>
      <c r="E95" s="112">
        <f>S59</f>
        <v/>
      </c>
      <c r="F95" s="112">
        <f>S76</f>
        <v/>
      </c>
      <c r="G95" s="113">
        <f>E95+F95</f>
        <v/>
      </c>
      <c r="H95" s="112">
        <f>S67</f>
        <v/>
      </c>
      <c r="I95" s="112">
        <f>S84</f>
        <v/>
      </c>
      <c r="J95" s="113">
        <f>H95+I95</f>
        <v/>
      </c>
      <c r="K95" s="114">
        <f>G95+J95</f>
        <v/>
      </c>
      <c r="L95" s="131" t="n"/>
      <c r="M95" s="131" t="n"/>
      <c r="N95" s="131" t="n"/>
      <c r="O95" s="131" t="n"/>
      <c r="P95" s="121" t="n"/>
      <c r="Q95" s="121" t="n"/>
      <c r="R95" s="121" t="n"/>
      <c r="S95" s="144" t="n"/>
    </row>
    <row r="96" ht="12.75" customHeight="1" s="172">
      <c r="A96" s="119" t="n"/>
      <c r="B96" s="120" t="n"/>
      <c r="C96" s="142" t="n"/>
      <c r="D96" s="117" t="inlineStr">
        <is>
          <t>Seven through Eight</t>
        </is>
      </c>
      <c r="E96" s="112">
        <f>S60</f>
        <v/>
      </c>
      <c r="F96" s="112">
        <f>S77</f>
        <v/>
      </c>
      <c r="G96" s="113">
        <f>E96+F96</f>
        <v/>
      </c>
      <c r="H96" s="112">
        <f>S68</f>
        <v/>
      </c>
      <c r="I96" s="112">
        <f>S85</f>
        <v/>
      </c>
      <c r="J96" s="113">
        <f>H96+I96</f>
        <v/>
      </c>
      <c r="K96" s="114">
        <f>G96+J96</f>
        <v/>
      </c>
      <c r="L96" s="131" t="n"/>
      <c r="M96" s="131" t="n"/>
      <c r="N96" s="131" t="n"/>
      <c r="O96" s="131" t="n"/>
      <c r="P96" s="121" t="n"/>
      <c r="Q96" s="121" t="n"/>
      <c r="R96" s="121" t="n"/>
      <c r="S96" s="144" t="n"/>
    </row>
    <row r="97" ht="12.75" customHeight="1" s="172">
      <c r="A97" s="119" t="n"/>
      <c r="B97" s="120" t="n"/>
      <c r="C97" s="142" t="n"/>
      <c r="D97" s="117" t="inlineStr">
        <is>
          <t>Nine through Twelve</t>
        </is>
      </c>
      <c r="E97" s="112">
        <f>S61</f>
        <v/>
      </c>
      <c r="F97" s="112">
        <f>S78</f>
        <v/>
      </c>
      <c r="G97" s="113">
        <f>E97+F97</f>
        <v/>
      </c>
      <c r="H97" s="112">
        <f>S69</f>
        <v/>
      </c>
      <c r="I97" s="112">
        <f>S86</f>
        <v/>
      </c>
      <c r="J97" s="113">
        <f>H97+I97</f>
        <v/>
      </c>
      <c r="K97" s="114">
        <f>G97+J97</f>
        <v/>
      </c>
      <c r="L97" s="131" t="n"/>
      <c r="M97" s="131" t="n"/>
      <c r="N97" s="131" t="n"/>
      <c r="O97" s="131" t="n"/>
      <c r="P97" s="121" t="n"/>
      <c r="Q97" s="121" t="n"/>
      <c r="R97" s="121" t="n"/>
      <c r="S97" s="144" t="n"/>
    </row>
    <row r="98" ht="12.75" customHeight="1" s="172" thickBot="1">
      <c r="A98" s="137" t="n"/>
      <c r="B98" s="138" t="n"/>
      <c r="C98" s="131" t="n"/>
      <c r="D98" s="143" t="inlineStr">
        <is>
          <t>Total</t>
        </is>
      </c>
      <c r="E98" s="115">
        <f>SUM(E93:E97)</f>
        <v/>
      </c>
      <c r="F98" s="115">
        <f>SUM(F93:F97)</f>
        <v/>
      </c>
      <c r="G98" s="116">
        <f>E98+F98</f>
        <v/>
      </c>
      <c r="H98" s="115">
        <f>SUM(H93:H97)</f>
        <v/>
      </c>
      <c r="I98" s="115">
        <f>SUM(I93:I97)</f>
        <v/>
      </c>
      <c r="J98" s="116">
        <f>SUM(J93:J97)</f>
        <v/>
      </c>
      <c r="K98" s="96">
        <f>SUM(K93:K97)</f>
        <v/>
      </c>
      <c r="L98" s="131" t="n"/>
      <c r="M98" s="131" t="n"/>
      <c r="N98" s="131" t="n"/>
      <c r="O98" s="131" t="n"/>
      <c r="P98" s="145" t="n"/>
      <c r="Q98" s="145" t="n"/>
      <c r="R98" s="145" t="n"/>
      <c r="S98" s="146" t="n"/>
    </row>
    <row r="99" ht="15.75" customHeight="1" s="172" thickTop="1"/>
    <row r="100" ht="15.75" customHeight="1" s="172">
      <c r="K100" s="93" t="n"/>
    </row>
    <row r="101" ht="15.75" customHeight="1" s="172">
      <c r="N101" s="93" t="n"/>
    </row>
    <row r="102" ht="15.75" customHeight="1" s="172">
      <c r="N102" s="93" t="n"/>
    </row>
    <row r="103" ht="15.75" customHeight="1" s="172">
      <c r="N103" s="93" t="n"/>
    </row>
  </sheetData>
  <mergeCells count="8">
    <mergeCell ref="A51:P51"/>
    <mergeCell ref="H2:S49"/>
    <mergeCell ref="A1:G1"/>
    <mergeCell ref="D91:K91"/>
    <mergeCell ref="A20:G20"/>
    <mergeCell ref="A30:G30"/>
    <mergeCell ref="E52:P52"/>
    <mergeCell ref="A50:S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G66"/>
  <sheetViews>
    <sheetView workbookViewId="0">
      <selection activeCell="E12" sqref="E12"/>
    </sheetView>
  </sheetViews>
  <sheetFormatPr baseColWidth="8" defaultColWidth="12.5703125" defaultRowHeight="15.75" customHeight="1"/>
  <cols>
    <col width="34" customWidth="1" style="172" min="1" max="1"/>
    <col width="15.140625" customWidth="1" style="172" min="3" max="3"/>
    <col width="17.7109375" customWidth="1" style="172" min="4" max="5"/>
    <col width="20.85546875" customWidth="1" style="172" min="13" max="13"/>
    <col width="18.42578125" customWidth="1" style="172" min="15" max="33"/>
  </cols>
  <sheetData>
    <row r="1" ht="22.5" customHeight="1" s="172">
      <c r="A1" s="188" t="n"/>
      <c r="Q1" s="186" t="inlineStr">
        <is>
          <t>Traditional Attendance Dashboard</t>
        </is>
      </c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</row>
    <row r="2" ht="30" customHeight="1" s="172">
      <c r="A2" s="28" t="inlineStr">
        <is>
          <t>School</t>
        </is>
      </c>
      <c r="B2" s="29" t="inlineStr">
        <is>
          <t>Aeries School Code</t>
        </is>
      </c>
      <c r="C2" s="183" t="inlineStr">
        <is>
          <t>Month 1</t>
        </is>
      </c>
      <c r="D2" s="184" t="n"/>
      <c r="E2" s="184" t="n"/>
      <c r="F2" s="183" t="inlineStr">
        <is>
          <t>Month 2</t>
        </is>
      </c>
      <c r="G2" s="184" t="n"/>
      <c r="H2" s="183" t="inlineStr">
        <is>
          <t>Month 3</t>
        </is>
      </c>
      <c r="I2" s="184" t="n"/>
      <c r="J2" s="183" t="inlineStr">
        <is>
          <t>Month 4</t>
        </is>
      </c>
      <c r="K2" s="184" t="n"/>
      <c r="L2" s="183" t="inlineStr">
        <is>
          <t>Month 5</t>
        </is>
      </c>
      <c r="M2" s="184" t="n"/>
      <c r="N2" s="183" t="inlineStr">
        <is>
          <t>Principal Apportionment - PI Submission</t>
        </is>
      </c>
      <c r="O2" s="185" t="n"/>
      <c r="P2" s="184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</row>
    <row r="3" ht="15" customHeight="1" s="172">
      <c r="A3" s="31" t="n"/>
      <c r="B3" s="32" t="n"/>
      <c r="C3" s="33" t="n"/>
      <c r="D3" s="34" t="n"/>
      <c r="E3" s="57" t="n"/>
      <c r="F3" s="33" t="n"/>
      <c r="G3" s="34" t="n"/>
      <c r="H3" s="33" t="n"/>
      <c r="I3" s="35" t="n"/>
      <c r="J3" s="36" t="n"/>
      <c r="K3" s="35" t="n"/>
      <c r="L3" s="36" t="n"/>
      <c r="M3" s="35" t="n"/>
      <c r="N3" s="33" t="n"/>
      <c r="O3" s="37" t="n"/>
      <c r="P3" s="35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</row>
    <row r="4" ht="15" customHeight="1" s="172">
      <c r="A4" s="31" t="n"/>
      <c r="B4" s="32" t="n"/>
      <c r="C4" s="38" t="inlineStr">
        <is>
          <t>Completed</t>
        </is>
      </c>
      <c r="D4" s="39" t="inlineStr">
        <is>
          <t>Date</t>
        </is>
      </c>
      <c r="E4" s="40" t="inlineStr">
        <is>
          <t>Notes</t>
        </is>
      </c>
      <c r="F4" s="38" t="inlineStr">
        <is>
          <t>Completed</t>
        </is>
      </c>
      <c r="G4" s="39" t="inlineStr">
        <is>
          <t>Date</t>
        </is>
      </c>
      <c r="H4" s="38" t="inlineStr">
        <is>
          <t>Completed</t>
        </is>
      </c>
      <c r="I4" s="39" t="inlineStr">
        <is>
          <t>Date</t>
        </is>
      </c>
      <c r="J4" s="38" t="inlineStr">
        <is>
          <t>Completed</t>
        </is>
      </c>
      <c r="K4" s="39" t="inlineStr">
        <is>
          <t>Date</t>
        </is>
      </c>
      <c r="L4" s="38" t="inlineStr">
        <is>
          <t>Completed</t>
        </is>
      </c>
      <c r="M4" s="39" t="inlineStr">
        <is>
          <t>Date</t>
        </is>
      </c>
      <c r="N4" s="38" t="inlineStr">
        <is>
          <t>Completed</t>
        </is>
      </c>
      <c r="O4" s="40" t="inlineStr">
        <is>
          <t>Date</t>
        </is>
      </c>
      <c r="P4" s="41" t="inlineStr">
        <is>
          <t>Notes</t>
        </is>
      </c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</row>
    <row r="5" ht="15" customHeight="1" s="172">
      <c r="A5" s="31" t="inlineStr">
        <is>
          <t>CCCS TK-8</t>
        </is>
      </c>
      <c r="B5" s="42" t="n">
        <v>830</v>
      </c>
      <c r="C5" s="30" t="b">
        <v>0</v>
      </c>
      <c r="D5" s="43" t="n"/>
      <c r="E5" s="48" t="n"/>
      <c r="F5" s="44" t="b">
        <v>0</v>
      </c>
      <c r="G5" s="45" t="n"/>
      <c r="H5" s="44" t="b">
        <v>0</v>
      </c>
      <c r="I5" s="45" t="n"/>
      <c r="J5" s="44" t="b">
        <v>0</v>
      </c>
      <c r="K5" s="45" t="n"/>
      <c r="L5" s="44" t="b">
        <v>0</v>
      </c>
      <c r="M5" s="45" t="n"/>
      <c r="N5" s="44" t="b">
        <v>0</v>
      </c>
      <c r="O5" s="18" t="n"/>
      <c r="P5" s="46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</row>
    <row r="6" ht="22.5" customHeight="1" s="172">
      <c r="A6" s="31" t="inlineStr">
        <is>
          <t>CCCS 9-12</t>
        </is>
      </c>
      <c r="B6" s="47" t="n">
        <v>815</v>
      </c>
      <c r="C6" s="44" t="b">
        <v>0</v>
      </c>
      <c r="D6" s="45" t="n"/>
      <c r="E6" s="48" t="n"/>
      <c r="F6" s="44" t="b">
        <v>0</v>
      </c>
      <c r="G6" s="45" t="n"/>
      <c r="H6" s="44" t="b">
        <v>0</v>
      </c>
      <c r="I6" s="45" t="n"/>
      <c r="J6" s="44" t="b">
        <v>0</v>
      </c>
      <c r="K6" s="45" t="n"/>
      <c r="L6" s="44" t="b">
        <v>0</v>
      </c>
      <c r="M6" s="45" t="n"/>
      <c r="N6" s="44" t="b">
        <v>0</v>
      </c>
      <c r="O6" s="18" t="n"/>
      <c r="P6" s="46" t="n"/>
      <c r="W6" s="188" t="n"/>
      <c r="X6" s="188" t="n"/>
      <c r="Y6" s="188" t="n"/>
      <c r="Z6" s="188" t="n"/>
      <c r="AA6" s="188" t="n"/>
      <c r="AB6" s="188" t="n"/>
      <c r="AC6" s="188" t="n"/>
      <c r="AD6" s="188" t="n"/>
      <c r="AE6" s="188" t="n"/>
      <c r="AF6" s="188" t="n"/>
      <c r="AG6" s="188" t="n"/>
    </row>
    <row r="7" ht="15" customHeight="1" s="172">
      <c r="A7" s="31" t="inlineStr">
        <is>
          <t>CCCS VA</t>
        </is>
      </c>
      <c r="B7" s="42" t="n">
        <v>805</v>
      </c>
      <c r="C7" s="44" t="b">
        <v>0</v>
      </c>
      <c r="D7" s="45" t="n"/>
      <c r="E7" s="48" t="n"/>
      <c r="F7" s="44" t="b">
        <v>0</v>
      </c>
      <c r="G7" s="45" t="n"/>
      <c r="H7" s="44" t="b">
        <v>0</v>
      </c>
      <c r="I7" s="45" t="n"/>
      <c r="J7" s="44" t="b">
        <v>0</v>
      </c>
      <c r="K7" s="45" t="n"/>
      <c r="L7" s="44" t="b">
        <v>0</v>
      </c>
      <c r="M7" s="48" t="n"/>
      <c r="N7" s="44" t="b">
        <v>0</v>
      </c>
      <c r="O7" s="18" t="n"/>
      <c r="P7" s="46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</row>
    <row r="8" ht="15" customHeight="1" s="172">
      <c r="A8" s="49" t="inlineStr">
        <is>
          <t>SAVA TRUSD</t>
        </is>
      </c>
      <c r="B8" s="50" t="n">
        <v>840</v>
      </c>
      <c r="C8" s="44" t="b">
        <v>0</v>
      </c>
      <c r="D8" s="45" t="n"/>
      <c r="E8" s="48" t="n"/>
      <c r="F8" s="44" t="b">
        <v>0</v>
      </c>
      <c r="G8" s="45" t="n"/>
      <c r="H8" s="44" t="b">
        <v>0</v>
      </c>
      <c r="I8" s="45" t="n"/>
      <c r="J8" s="44" t="b">
        <v>0</v>
      </c>
      <c r="K8" s="45" t="n"/>
      <c r="L8" s="44" t="b">
        <v>0</v>
      </c>
      <c r="M8" s="48" t="n"/>
      <c r="N8" s="44" t="b">
        <v>0</v>
      </c>
      <c r="O8" s="18" t="n"/>
      <c r="P8" s="46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</row>
    <row r="9" ht="15" customHeight="1" s="172">
      <c r="A9" s="31" t="inlineStr">
        <is>
          <t>SAVA EGUSD</t>
        </is>
      </c>
      <c r="B9" s="42" t="n">
        <v>847</v>
      </c>
      <c r="C9" s="44" t="b">
        <v>0</v>
      </c>
      <c r="D9" s="45" t="n"/>
      <c r="E9" s="48" t="n"/>
      <c r="F9" s="44" t="b">
        <v>0</v>
      </c>
      <c r="G9" s="45" t="n"/>
      <c r="H9" s="44" t="b">
        <v>0</v>
      </c>
      <c r="I9" s="45" t="n"/>
      <c r="J9" s="44" t="b">
        <v>0</v>
      </c>
      <c r="K9" s="45" t="n"/>
      <c r="L9" s="44" t="b">
        <v>0</v>
      </c>
      <c r="M9" s="48" t="n"/>
      <c r="N9" s="44" t="b">
        <v>0</v>
      </c>
      <c r="O9" s="18" t="n"/>
      <c r="P9" s="46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</row>
    <row r="10" ht="15" customHeight="1" s="172">
      <c r="A10" s="31" t="inlineStr">
        <is>
          <t>SAVA SCUSD PI</t>
        </is>
      </c>
      <c r="B10" s="42" t="n">
        <v>848</v>
      </c>
      <c r="C10" s="44" t="b">
        <v>0</v>
      </c>
      <c r="D10" s="45" t="n"/>
      <c r="E10" s="48" t="n"/>
      <c r="F10" s="44" t="b">
        <v>0</v>
      </c>
      <c r="G10" s="45" t="n"/>
      <c r="H10" s="44" t="b">
        <v>0</v>
      </c>
      <c r="I10" s="45" t="n"/>
      <c r="J10" s="44" t="b">
        <v>0</v>
      </c>
      <c r="K10" s="45" t="n"/>
      <c r="L10" s="44" t="b">
        <v>0</v>
      </c>
      <c r="M10" s="45" t="n"/>
      <c r="N10" s="44" t="b">
        <v>0</v>
      </c>
      <c r="O10" s="18" t="n"/>
      <c r="P10" s="46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</row>
    <row r="11" ht="15" customHeight="1" s="172">
      <c r="A11" s="49" t="inlineStr">
        <is>
          <t>SAVA SCUSD Sim</t>
        </is>
      </c>
      <c r="B11" s="51" t="n">
        <v>849</v>
      </c>
      <c r="C11" s="38" t="b">
        <v>0</v>
      </c>
      <c r="D11" s="52" t="n"/>
      <c r="E11" s="167" t="n"/>
      <c r="F11" s="38" t="b">
        <v>0</v>
      </c>
      <c r="G11" s="52" t="n"/>
      <c r="H11" s="38" t="b">
        <v>0</v>
      </c>
      <c r="I11" s="52" t="n"/>
      <c r="J11" s="38" t="b">
        <v>0</v>
      </c>
      <c r="K11" s="52" t="n"/>
      <c r="L11" s="38" t="b">
        <v>0</v>
      </c>
      <c r="M11" s="52" t="n"/>
      <c r="N11" s="38" t="b">
        <v>0</v>
      </c>
      <c r="O11" s="14" t="n"/>
      <c r="P11" s="41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</row>
    <row r="12" ht="12.75" customHeight="1" s="172">
      <c r="A12" s="53" t="n"/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</row>
    <row r="13" ht="30" customHeight="1" s="172">
      <c r="A13" s="28" t="inlineStr">
        <is>
          <t>School</t>
        </is>
      </c>
      <c r="B13" s="29" t="inlineStr">
        <is>
          <t>Aeries School Code</t>
        </is>
      </c>
      <c r="C13" s="183" t="inlineStr">
        <is>
          <t>Month 1</t>
        </is>
      </c>
      <c r="D13" s="184" t="n"/>
      <c r="E13" s="184" t="n"/>
      <c r="F13" s="183" t="inlineStr">
        <is>
          <t>Month 2</t>
        </is>
      </c>
      <c r="G13" s="184" t="n"/>
      <c r="H13" s="183" t="inlineStr">
        <is>
          <t>Month 3</t>
        </is>
      </c>
      <c r="I13" s="184" t="n"/>
      <c r="J13" s="183" t="inlineStr">
        <is>
          <t>Month 4</t>
        </is>
      </c>
      <c r="K13" s="184" t="n"/>
      <c r="L13" s="183" t="inlineStr">
        <is>
          <t>Month 5</t>
        </is>
      </c>
      <c r="M13" s="184" t="n"/>
      <c r="N13" s="183" t="inlineStr">
        <is>
          <t>Month 6</t>
        </is>
      </c>
      <c r="O13" s="184" t="n"/>
      <c r="P13" s="183" t="inlineStr">
        <is>
          <t>Month 7</t>
        </is>
      </c>
      <c r="Q13" s="184" t="n"/>
      <c r="R13" s="183" t="inlineStr">
        <is>
          <t>Month 8</t>
        </is>
      </c>
      <c r="S13" s="184" t="n"/>
      <c r="T13" s="187" t="inlineStr">
        <is>
          <t>Principal Apportionment - PII Submission</t>
        </is>
      </c>
      <c r="U13" s="185" t="n"/>
      <c r="V13" s="184" t="n"/>
      <c r="W13" s="54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</row>
    <row r="14" ht="12.75" customHeight="1" s="172">
      <c r="A14" s="12" t="n"/>
      <c r="B14" s="25" t="n"/>
      <c r="C14" s="55" t="n"/>
      <c r="D14" s="56" t="n"/>
      <c r="E14" s="60" t="n"/>
      <c r="F14" s="33" t="n"/>
      <c r="G14" s="34" t="n"/>
      <c r="H14" s="33" t="n"/>
      <c r="I14" s="35" t="n"/>
      <c r="J14" s="36" t="n"/>
      <c r="K14" s="35" t="n"/>
      <c r="L14" s="36" t="n"/>
      <c r="M14" s="35" t="n"/>
      <c r="N14" s="33" t="n"/>
      <c r="O14" s="34" t="n"/>
      <c r="P14" s="33" t="n"/>
      <c r="Q14" s="34" t="n"/>
      <c r="R14" s="33" t="n"/>
      <c r="S14" s="34" t="n"/>
      <c r="T14" s="57" t="n"/>
      <c r="U14" s="57" t="n"/>
      <c r="V14" s="46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</row>
    <row r="15" ht="12.75" customHeight="1" s="172">
      <c r="A15" s="58" t="n"/>
      <c r="B15" s="25" t="n"/>
      <c r="C15" s="38" t="inlineStr">
        <is>
          <t>Completed</t>
        </is>
      </c>
      <c r="D15" s="39" t="inlineStr">
        <is>
          <t>Date</t>
        </is>
      </c>
      <c r="E15" s="40" t="n"/>
      <c r="F15" s="38" t="inlineStr">
        <is>
          <t>Completed</t>
        </is>
      </c>
      <c r="G15" s="39" t="inlineStr">
        <is>
          <t>Date</t>
        </is>
      </c>
      <c r="H15" s="38" t="inlineStr">
        <is>
          <t>Completed</t>
        </is>
      </c>
      <c r="I15" s="39" t="inlineStr">
        <is>
          <t>Date</t>
        </is>
      </c>
      <c r="J15" s="38" t="inlineStr">
        <is>
          <t>Completed</t>
        </is>
      </c>
      <c r="K15" s="39" t="inlineStr">
        <is>
          <t>Date</t>
        </is>
      </c>
      <c r="L15" s="38" t="inlineStr">
        <is>
          <t>Completed</t>
        </is>
      </c>
      <c r="M15" s="39" t="inlineStr">
        <is>
          <t>Date</t>
        </is>
      </c>
      <c r="N15" s="38" t="inlineStr">
        <is>
          <t>Completed</t>
        </is>
      </c>
      <c r="O15" s="39" t="inlineStr">
        <is>
          <t>Date</t>
        </is>
      </c>
      <c r="P15" s="38" t="inlineStr">
        <is>
          <t>Completed</t>
        </is>
      </c>
      <c r="Q15" s="39" t="inlineStr">
        <is>
          <t>Date</t>
        </is>
      </c>
      <c r="R15" s="38" t="inlineStr">
        <is>
          <t>Completed</t>
        </is>
      </c>
      <c r="S15" s="39" t="inlineStr">
        <is>
          <t>Date</t>
        </is>
      </c>
      <c r="T15" s="40" t="inlineStr">
        <is>
          <t>Completed</t>
        </is>
      </c>
      <c r="U15" s="40" t="inlineStr">
        <is>
          <t>Date</t>
        </is>
      </c>
      <c r="V15" s="41" t="inlineStr">
        <is>
          <t>Notes</t>
        </is>
      </c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</row>
    <row r="16" ht="15" customHeight="1" s="172">
      <c r="A16" s="31" t="inlineStr">
        <is>
          <t>CCCS TK-8</t>
        </is>
      </c>
      <c r="B16" s="47" t="n">
        <v>830</v>
      </c>
      <c r="C16" s="30" t="b">
        <v>0</v>
      </c>
      <c r="D16" s="59" t="n"/>
      <c r="E16" s="60" t="n"/>
      <c r="F16" s="44" t="b">
        <v>0</v>
      </c>
      <c r="G16" s="56" t="n"/>
      <c r="H16" s="44" t="b">
        <v>0</v>
      </c>
      <c r="I16" s="56" t="n"/>
      <c r="J16" s="44" t="b">
        <v>0</v>
      </c>
      <c r="K16" s="56" t="n"/>
      <c r="L16" s="44" t="b">
        <v>0</v>
      </c>
      <c r="M16" s="56" t="n"/>
      <c r="N16" s="44" t="b">
        <v>0</v>
      </c>
      <c r="O16" s="59" t="n"/>
      <c r="P16" s="44" t="b">
        <v>0</v>
      </c>
      <c r="Q16" s="59" t="n"/>
      <c r="R16" s="44" t="b">
        <v>0</v>
      </c>
      <c r="S16" s="59" t="n"/>
      <c r="T16" s="13" t="b">
        <v>0</v>
      </c>
      <c r="U16" s="18" t="n"/>
      <c r="V16" s="46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</row>
    <row r="17" ht="15" customHeight="1" s="172">
      <c r="A17" s="31" t="inlineStr">
        <is>
          <t>CCCS 9-12</t>
        </is>
      </c>
      <c r="B17" s="42" t="n">
        <v>815</v>
      </c>
      <c r="C17" s="44" t="b">
        <v>0</v>
      </c>
      <c r="D17" s="56" t="n"/>
      <c r="E17" s="60" t="n"/>
      <c r="F17" s="44" t="b">
        <v>0</v>
      </c>
      <c r="G17" s="56" t="n"/>
      <c r="H17" s="44" t="b">
        <v>0</v>
      </c>
      <c r="I17" s="56" t="n"/>
      <c r="J17" s="44" t="b">
        <v>0</v>
      </c>
      <c r="K17" s="56" t="n"/>
      <c r="L17" s="44" t="b">
        <v>0</v>
      </c>
      <c r="M17" s="56" t="n"/>
      <c r="N17" s="44" t="b">
        <v>0</v>
      </c>
      <c r="O17" s="56" t="n"/>
      <c r="P17" s="44" t="b">
        <v>0</v>
      </c>
      <c r="Q17" s="56" t="n"/>
      <c r="R17" s="44" t="b">
        <v>0</v>
      </c>
      <c r="S17" s="56" t="n"/>
      <c r="T17" s="13" t="b">
        <v>0</v>
      </c>
      <c r="U17" s="18" t="n"/>
      <c r="V17" s="46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</row>
    <row r="18" ht="15" customHeight="1" s="172">
      <c r="A18" s="31" t="inlineStr">
        <is>
          <t>CCCS VA</t>
        </is>
      </c>
      <c r="B18" s="42" t="n">
        <v>805</v>
      </c>
      <c r="C18" s="44" t="b">
        <v>0</v>
      </c>
      <c r="D18" s="56" t="n"/>
      <c r="E18" s="60" t="n"/>
      <c r="F18" s="44" t="b">
        <v>0</v>
      </c>
      <c r="G18" s="56" t="n"/>
      <c r="H18" s="44" t="b">
        <v>0</v>
      </c>
      <c r="I18" s="56" t="n"/>
      <c r="J18" s="44" t="b">
        <v>0</v>
      </c>
      <c r="K18" s="56" t="n"/>
      <c r="L18" s="44" t="b">
        <v>0</v>
      </c>
      <c r="M18" s="60" t="n"/>
      <c r="N18" s="44" t="b">
        <v>0</v>
      </c>
      <c r="O18" s="56" t="n"/>
      <c r="P18" s="44" t="b">
        <v>0</v>
      </c>
      <c r="Q18" s="56" t="n"/>
      <c r="R18" s="44" t="b">
        <v>0</v>
      </c>
      <c r="S18" s="56" t="n"/>
      <c r="T18" s="13" t="b">
        <v>0</v>
      </c>
      <c r="U18" s="18" t="n"/>
      <c r="V18" s="46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</row>
    <row r="19" ht="15" customHeight="1" s="172">
      <c r="A19" s="31" t="inlineStr">
        <is>
          <t>SAVA TRUSD</t>
        </is>
      </c>
      <c r="B19" s="42" t="n">
        <v>840</v>
      </c>
      <c r="C19" s="44" t="b">
        <v>0</v>
      </c>
      <c r="D19" s="56" t="n"/>
      <c r="E19" s="60" t="n"/>
      <c r="F19" s="44" t="b">
        <v>0</v>
      </c>
      <c r="G19" s="56" t="n"/>
      <c r="H19" s="44" t="b">
        <v>0</v>
      </c>
      <c r="I19" s="56" t="n"/>
      <c r="J19" s="44" t="b">
        <v>0</v>
      </c>
      <c r="K19" s="56" t="n"/>
      <c r="L19" s="44" t="b">
        <v>0</v>
      </c>
      <c r="M19" s="60" t="n"/>
      <c r="N19" s="44" t="b">
        <v>0</v>
      </c>
      <c r="O19" s="56" t="n"/>
      <c r="P19" s="44" t="b">
        <v>0</v>
      </c>
      <c r="Q19" s="56" t="n"/>
      <c r="R19" s="44" t="b">
        <v>0</v>
      </c>
      <c r="S19" s="56" t="n"/>
      <c r="T19" s="13" t="b">
        <v>0</v>
      </c>
      <c r="U19" s="18" t="n"/>
      <c r="V19" s="46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</row>
    <row r="20" ht="15" customHeight="1" s="172">
      <c r="A20" s="31" t="inlineStr">
        <is>
          <t>SAVA EGUSD</t>
        </is>
      </c>
      <c r="B20" s="42" t="n">
        <v>847</v>
      </c>
      <c r="C20" s="44" t="b">
        <v>0</v>
      </c>
      <c r="D20" s="56" t="n"/>
      <c r="E20" s="60" t="n"/>
      <c r="F20" s="44" t="b">
        <v>0</v>
      </c>
      <c r="G20" s="56" t="n"/>
      <c r="H20" s="44" t="b">
        <v>0</v>
      </c>
      <c r="I20" s="56" t="n"/>
      <c r="J20" s="44" t="b">
        <v>0</v>
      </c>
      <c r="K20" s="56" t="n"/>
      <c r="L20" s="44" t="b">
        <v>0</v>
      </c>
      <c r="M20" s="60" t="n"/>
      <c r="N20" s="44" t="b">
        <v>0</v>
      </c>
      <c r="O20" s="56" t="n"/>
      <c r="P20" s="44" t="b">
        <v>0</v>
      </c>
      <c r="Q20" s="56" t="n"/>
      <c r="R20" s="44" t="b">
        <v>0</v>
      </c>
      <c r="S20" s="56" t="n"/>
      <c r="T20" s="13" t="b">
        <v>0</v>
      </c>
      <c r="U20" s="18" t="n"/>
      <c r="V20" s="46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</row>
    <row r="21" ht="15" customHeight="1" s="172">
      <c r="A21" s="31" t="inlineStr">
        <is>
          <t>SAVA SCUSD PI</t>
        </is>
      </c>
      <c r="B21" s="42" t="n">
        <v>848</v>
      </c>
      <c r="C21" s="44" t="b">
        <v>0</v>
      </c>
      <c r="D21" s="56" t="n"/>
      <c r="E21" s="60" t="n"/>
      <c r="F21" s="44" t="b">
        <v>0</v>
      </c>
      <c r="G21" s="56" t="n"/>
      <c r="H21" s="44" t="b">
        <v>0</v>
      </c>
      <c r="I21" s="56" t="n"/>
      <c r="J21" s="44" t="b">
        <v>0</v>
      </c>
      <c r="K21" s="56" t="n"/>
      <c r="L21" s="44" t="b">
        <v>0</v>
      </c>
      <c r="M21" s="56" t="n"/>
      <c r="N21" s="44" t="b">
        <v>0</v>
      </c>
      <c r="O21" s="56" t="n"/>
      <c r="P21" s="44" t="b">
        <v>0</v>
      </c>
      <c r="Q21" s="56" t="n"/>
      <c r="R21" s="44" t="b">
        <v>0</v>
      </c>
      <c r="S21" s="56" t="n"/>
      <c r="T21" s="13" t="b">
        <v>0</v>
      </c>
      <c r="U21" s="18" t="n"/>
      <c r="V21" s="46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</row>
    <row r="22" ht="22.5" customHeight="1" s="172">
      <c r="A22" s="49" t="inlineStr">
        <is>
          <t>SAVA SCUSD Sim</t>
        </is>
      </c>
      <c r="B22" s="50" t="n">
        <v>849</v>
      </c>
      <c r="C22" s="38" t="b">
        <v>0</v>
      </c>
      <c r="D22" s="61" t="n"/>
      <c r="E22" s="168" t="n"/>
      <c r="F22" s="38" t="b">
        <v>0</v>
      </c>
      <c r="G22" s="61" t="n"/>
      <c r="H22" s="38" t="b">
        <v>0</v>
      </c>
      <c r="I22" s="61" t="n"/>
      <c r="J22" s="38" t="b">
        <v>0</v>
      </c>
      <c r="K22" s="61" t="n"/>
      <c r="L22" s="38" t="b">
        <v>0</v>
      </c>
      <c r="M22" s="61" t="n"/>
      <c r="N22" s="38" t="b">
        <v>0</v>
      </c>
      <c r="O22" s="61" t="n"/>
      <c r="P22" s="38" t="b">
        <v>0</v>
      </c>
      <c r="Q22" s="61" t="n"/>
      <c r="R22" s="38" t="b">
        <v>0</v>
      </c>
      <c r="S22" s="61" t="n"/>
      <c r="T22" s="40" t="b">
        <v>0</v>
      </c>
      <c r="U22" s="14" t="n"/>
      <c r="V22" s="41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</row>
    <row r="23" ht="15" customHeight="1" s="172">
      <c r="A23" s="62" t="n"/>
      <c r="B23" s="63" t="n"/>
      <c r="C23" s="64" t="n"/>
      <c r="D23" s="64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</row>
    <row r="24" ht="15" customHeight="1" s="172">
      <c r="A24" s="62" t="n"/>
      <c r="B24" s="63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</row>
    <row r="25" ht="15" customHeight="1" s="172">
      <c r="A25" s="62" t="n"/>
      <c r="B25" s="63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</row>
    <row r="26" ht="15" customHeight="1" s="172">
      <c r="A26" s="62" t="n"/>
      <c r="B26" s="63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</row>
    <row r="27" ht="30" customHeight="1" s="172">
      <c r="A27" s="28" t="inlineStr">
        <is>
          <t>School</t>
        </is>
      </c>
      <c r="B27" s="29" t="inlineStr">
        <is>
          <t>Aeries School Code</t>
        </is>
      </c>
      <c r="C27" s="183" t="inlineStr">
        <is>
          <t>Month 1</t>
        </is>
      </c>
      <c r="D27" s="184" t="n"/>
      <c r="E27" s="184" t="n"/>
      <c r="F27" s="183" t="inlineStr">
        <is>
          <t>Month 2</t>
        </is>
      </c>
      <c r="G27" s="184" t="n"/>
      <c r="H27" s="183" t="inlineStr">
        <is>
          <t>Month 3</t>
        </is>
      </c>
      <c r="I27" s="184" t="n"/>
      <c r="J27" s="183" t="inlineStr">
        <is>
          <t>Month 4</t>
        </is>
      </c>
      <c r="K27" s="184" t="n"/>
      <c r="L27" s="183" t="inlineStr">
        <is>
          <t>Month 5</t>
        </is>
      </c>
      <c r="M27" s="184" t="n"/>
      <c r="N27" s="183" t="inlineStr">
        <is>
          <t>Month 6</t>
        </is>
      </c>
      <c r="O27" s="184" t="n"/>
      <c r="P27" s="183" t="inlineStr">
        <is>
          <t>Month 7</t>
        </is>
      </c>
      <c r="Q27" s="184" t="n"/>
      <c r="R27" s="183" t="inlineStr">
        <is>
          <t>Month 8</t>
        </is>
      </c>
      <c r="S27" s="184" t="n"/>
      <c r="T27" s="187" t="inlineStr">
        <is>
          <t>Principal Apportionment - PII Revision Submission</t>
        </is>
      </c>
      <c r="U27" s="185" t="n"/>
      <c r="V27" s="18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</row>
    <row r="28" ht="15" customHeight="1" s="172">
      <c r="A28" s="31" t="n"/>
      <c r="B28" s="32" t="n"/>
      <c r="C28" s="33" t="n"/>
      <c r="D28" s="34" t="n"/>
      <c r="E28" s="57" t="n"/>
      <c r="F28" s="33" t="n"/>
      <c r="G28" s="34" t="n"/>
      <c r="H28" s="33" t="n"/>
      <c r="I28" s="35" t="n"/>
      <c r="J28" s="36" t="n"/>
      <c r="K28" s="35" t="n"/>
      <c r="L28" s="36" t="n"/>
      <c r="M28" s="35" t="n"/>
      <c r="N28" s="33" t="n"/>
      <c r="O28" s="34" t="n"/>
      <c r="P28" s="33" t="n"/>
      <c r="Q28" s="34" t="n"/>
      <c r="R28" s="33" t="n"/>
      <c r="S28" s="34" t="n"/>
      <c r="T28" s="57" t="n"/>
      <c r="U28" s="57" t="n"/>
      <c r="V28" s="46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</row>
    <row r="29" ht="15" customHeight="1" s="172">
      <c r="A29" s="49" t="n"/>
      <c r="B29" s="32" t="n"/>
      <c r="C29" s="38" t="inlineStr">
        <is>
          <t>Completed</t>
        </is>
      </c>
      <c r="D29" s="39" t="inlineStr">
        <is>
          <t>Date</t>
        </is>
      </c>
      <c r="E29" s="40" t="n"/>
      <c r="F29" s="38" t="inlineStr">
        <is>
          <t>Completed</t>
        </is>
      </c>
      <c r="G29" s="39" t="inlineStr">
        <is>
          <t>Date</t>
        </is>
      </c>
      <c r="H29" s="38" t="inlineStr">
        <is>
          <t>Completed</t>
        </is>
      </c>
      <c r="I29" s="39" t="inlineStr">
        <is>
          <t>Date</t>
        </is>
      </c>
      <c r="J29" s="38" t="inlineStr">
        <is>
          <t>Completed</t>
        </is>
      </c>
      <c r="K29" s="39" t="inlineStr">
        <is>
          <t>Date</t>
        </is>
      </c>
      <c r="L29" s="38" t="inlineStr">
        <is>
          <t>Completed</t>
        </is>
      </c>
      <c r="M29" s="39" t="inlineStr">
        <is>
          <t>Date</t>
        </is>
      </c>
      <c r="N29" s="38" t="inlineStr">
        <is>
          <t>Completed</t>
        </is>
      </c>
      <c r="O29" s="39" t="inlineStr">
        <is>
          <t>Date</t>
        </is>
      </c>
      <c r="P29" s="38" t="inlineStr">
        <is>
          <t>Completed</t>
        </is>
      </c>
      <c r="Q29" s="39" t="inlineStr">
        <is>
          <t>Date</t>
        </is>
      </c>
      <c r="R29" s="38" t="inlineStr">
        <is>
          <t>Completed</t>
        </is>
      </c>
      <c r="S29" s="39" t="inlineStr">
        <is>
          <t>Date</t>
        </is>
      </c>
      <c r="T29" s="40" t="inlineStr">
        <is>
          <t>Completed</t>
        </is>
      </c>
      <c r="U29" s="40" t="inlineStr">
        <is>
          <t>Date</t>
        </is>
      </c>
      <c r="V29" s="41" t="inlineStr">
        <is>
          <t>Notes</t>
        </is>
      </c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</row>
    <row r="30" ht="15" customHeight="1" s="172">
      <c r="A30" s="31" t="inlineStr">
        <is>
          <t>CCCS TK-8</t>
        </is>
      </c>
      <c r="B30" s="47" t="n">
        <v>830</v>
      </c>
      <c r="C30" s="30" t="b">
        <v>0</v>
      </c>
      <c r="D30" s="43" t="n"/>
      <c r="E30" s="48" t="n"/>
      <c r="F30" s="44" t="b">
        <v>0</v>
      </c>
      <c r="G30" s="45" t="n"/>
      <c r="H30" s="44" t="b">
        <v>0</v>
      </c>
      <c r="I30" s="45" t="n"/>
      <c r="J30" s="44" t="b">
        <v>0</v>
      </c>
      <c r="K30" s="45" t="n"/>
      <c r="L30" s="44" t="b">
        <v>0</v>
      </c>
      <c r="M30" s="45" t="n"/>
      <c r="N30" s="44" t="b">
        <v>0</v>
      </c>
      <c r="O30" s="43" t="n"/>
      <c r="P30" s="44" t="b">
        <v>0</v>
      </c>
      <c r="Q30" s="43" t="n"/>
      <c r="R30" s="44" t="b">
        <v>0</v>
      </c>
      <c r="S30" s="43" t="n"/>
      <c r="T30" s="13" t="b">
        <v>0</v>
      </c>
      <c r="U30" s="18" t="n"/>
      <c r="V30" s="46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</row>
    <row r="31" ht="15" customHeight="1" s="172">
      <c r="A31" s="31" t="inlineStr">
        <is>
          <t>CCCS 9-12</t>
        </is>
      </c>
      <c r="B31" s="42" t="n">
        <v>815</v>
      </c>
      <c r="C31" s="44" t="b">
        <v>0</v>
      </c>
      <c r="D31" s="45" t="n"/>
      <c r="E31" s="48" t="n"/>
      <c r="F31" s="44" t="b">
        <v>0</v>
      </c>
      <c r="G31" s="45" t="n"/>
      <c r="H31" s="44" t="b">
        <v>0</v>
      </c>
      <c r="I31" s="45" t="n"/>
      <c r="J31" s="44" t="b">
        <v>0</v>
      </c>
      <c r="K31" s="45" t="n"/>
      <c r="L31" s="44" t="b">
        <v>0</v>
      </c>
      <c r="M31" s="45" t="n"/>
      <c r="N31" s="44" t="b">
        <v>0</v>
      </c>
      <c r="O31" s="45" t="n"/>
      <c r="P31" s="44" t="b">
        <v>0</v>
      </c>
      <c r="Q31" s="45" t="n"/>
      <c r="R31" s="44" t="b">
        <v>0</v>
      </c>
      <c r="S31" s="45" t="n"/>
      <c r="T31" s="13" t="b">
        <v>0</v>
      </c>
      <c r="U31" s="18" t="n"/>
      <c r="V31" s="46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</row>
    <row r="32" ht="15" customHeight="1" s="172">
      <c r="A32" s="31" t="inlineStr">
        <is>
          <t>CCCS VA</t>
        </is>
      </c>
      <c r="B32" s="42" t="n">
        <v>805</v>
      </c>
      <c r="C32" s="44" t="b">
        <v>0</v>
      </c>
      <c r="D32" s="45" t="n"/>
      <c r="E32" s="48" t="n"/>
      <c r="F32" s="44" t="b">
        <v>0</v>
      </c>
      <c r="G32" s="45" t="n"/>
      <c r="H32" s="44" t="b">
        <v>0</v>
      </c>
      <c r="I32" s="45" t="n"/>
      <c r="J32" s="44" t="b">
        <v>0</v>
      </c>
      <c r="K32" s="45" t="n"/>
      <c r="L32" s="44" t="b">
        <v>0</v>
      </c>
      <c r="M32" s="48" t="n"/>
      <c r="N32" s="44" t="b">
        <v>0</v>
      </c>
      <c r="O32" s="45" t="n"/>
      <c r="P32" s="44" t="b">
        <v>0</v>
      </c>
      <c r="Q32" s="45" t="n"/>
      <c r="R32" s="44" t="b">
        <v>0</v>
      </c>
      <c r="S32" s="45" t="n"/>
      <c r="T32" s="13" t="b">
        <v>0</v>
      </c>
      <c r="U32" s="18" t="n"/>
      <c r="V32" s="46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</row>
    <row r="33" ht="15" customHeight="1" s="172">
      <c r="A33" s="31" t="inlineStr">
        <is>
          <t>SAVA TRUSD</t>
        </is>
      </c>
      <c r="B33" s="42" t="n">
        <v>840</v>
      </c>
      <c r="C33" s="44" t="b">
        <v>0</v>
      </c>
      <c r="D33" s="45" t="n"/>
      <c r="E33" s="48" t="n"/>
      <c r="F33" s="44" t="b">
        <v>0</v>
      </c>
      <c r="G33" s="45" t="n"/>
      <c r="H33" s="44" t="b">
        <v>0</v>
      </c>
      <c r="I33" s="45" t="n"/>
      <c r="J33" s="44" t="b">
        <v>0</v>
      </c>
      <c r="K33" s="45" t="n"/>
      <c r="L33" s="44" t="b">
        <v>0</v>
      </c>
      <c r="M33" s="48" t="n"/>
      <c r="N33" s="44" t="b">
        <v>0</v>
      </c>
      <c r="O33" s="45" t="n"/>
      <c r="P33" s="44" t="b">
        <v>0</v>
      </c>
      <c r="Q33" s="45" t="n"/>
      <c r="R33" s="44" t="b">
        <v>0</v>
      </c>
      <c r="S33" s="45" t="n"/>
      <c r="T33" s="13" t="b">
        <v>0</v>
      </c>
      <c r="U33" s="18" t="n"/>
      <c r="V33" s="46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</row>
    <row r="34" ht="15" customHeight="1" s="172">
      <c r="A34" s="31" t="inlineStr">
        <is>
          <t>SAVA EGUSD</t>
        </is>
      </c>
      <c r="B34" s="42" t="n">
        <v>847</v>
      </c>
      <c r="C34" s="44" t="b">
        <v>0</v>
      </c>
      <c r="D34" s="45" t="n"/>
      <c r="E34" s="48" t="n"/>
      <c r="F34" s="44" t="b">
        <v>0</v>
      </c>
      <c r="G34" s="45" t="n"/>
      <c r="H34" s="44" t="b">
        <v>0</v>
      </c>
      <c r="I34" s="45" t="n"/>
      <c r="J34" s="44" t="b">
        <v>0</v>
      </c>
      <c r="K34" s="45" t="n"/>
      <c r="L34" s="44" t="b">
        <v>0</v>
      </c>
      <c r="M34" s="48" t="n"/>
      <c r="N34" s="44" t="b">
        <v>0</v>
      </c>
      <c r="O34" s="45" t="n"/>
      <c r="P34" s="44" t="b">
        <v>0</v>
      </c>
      <c r="Q34" s="45" t="n"/>
      <c r="R34" s="44" t="b">
        <v>0</v>
      </c>
      <c r="S34" s="45" t="n"/>
      <c r="T34" s="13" t="b">
        <v>0</v>
      </c>
      <c r="U34" s="18" t="n"/>
      <c r="V34" s="46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</row>
    <row r="35" ht="15" customHeight="1" s="172">
      <c r="A35" s="31" t="inlineStr">
        <is>
          <t>SAVA SCUSD PI</t>
        </is>
      </c>
      <c r="B35" s="42" t="n">
        <v>848</v>
      </c>
      <c r="C35" s="44" t="b">
        <v>0</v>
      </c>
      <c r="D35" s="45" t="n"/>
      <c r="E35" s="48" t="n"/>
      <c r="F35" s="44" t="b">
        <v>0</v>
      </c>
      <c r="G35" s="45" t="n"/>
      <c r="H35" s="44" t="b">
        <v>0</v>
      </c>
      <c r="I35" s="45" t="n"/>
      <c r="J35" s="44" t="b">
        <v>0</v>
      </c>
      <c r="K35" s="45" t="n"/>
      <c r="L35" s="44" t="b">
        <v>0</v>
      </c>
      <c r="M35" s="45" t="n"/>
      <c r="N35" s="44" t="b">
        <v>0</v>
      </c>
      <c r="O35" s="45" t="n"/>
      <c r="P35" s="44" t="b">
        <v>0</v>
      </c>
      <c r="Q35" s="45" t="n"/>
      <c r="R35" s="44" t="b">
        <v>0</v>
      </c>
      <c r="S35" s="45" t="n"/>
      <c r="T35" s="13" t="b">
        <v>0</v>
      </c>
      <c r="U35" s="18" t="n"/>
      <c r="V35" s="46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</row>
    <row r="36" ht="15" customHeight="1" s="172">
      <c r="A36" s="49" t="inlineStr">
        <is>
          <t>SAVA SCUSD Sim</t>
        </is>
      </c>
      <c r="B36" s="50" t="n">
        <v>849</v>
      </c>
      <c r="C36" s="38" t="b">
        <v>0</v>
      </c>
      <c r="D36" s="52" t="n"/>
      <c r="E36" s="167" t="n"/>
      <c r="F36" s="38" t="b">
        <v>0</v>
      </c>
      <c r="G36" s="52" t="n"/>
      <c r="H36" s="38" t="b">
        <v>0</v>
      </c>
      <c r="I36" s="52" t="n"/>
      <c r="J36" s="38" t="b">
        <v>0</v>
      </c>
      <c r="K36" s="52" t="n"/>
      <c r="L36" s="38" t="b">
        <v>0</v>
      </c>
      <c r="M36" s="52" t="n"/>
      <c r="N36" s="38" t="b">
        <v>0</v>
      </c>
      <c r="O36" s="52" t="n"/>
      <c r="P36" s="38" t="b">
        <v>0</v>
      </c>
      <c r="Q36" s="52" t="n"/>
      <c r="R36" s="38" t="b">
        <v>0</v>
      </c>
      <c r="S36" s="52" t="n"/>
      <c r="T36" s="40" t="b">
        <v>0</v>
      </c>
      <c r="U36" s="14" t="n"/>
      <c r="V36" s="41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</row>
    <row r="37" ht="12.75" customHeight="1" s="172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</row>
    <row r="38" ht="12.75" customHeight="1" s="172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</row>
    <row r="39" ht="30" customHeight="1" s="172">
      <c r="A39" s="28" t="inlineStr">
        <is>
          <t>School</t>
        </is>
      </c>
      <c r="B39" s="29" t="inlineStr">
        <is>
          <t>Aeries School Code</t>
        </is>
      </c>
      <c r="C39" s="183" t="inlineStr">
        <is>
          <t>Month 1</t>
        </is>
      </c>
      <c r="D39" s="184" t="n"/>
      <c r="E39" s="184" t="n"/>
      <c r="F39" s="183" t="inlineStr">
        <is>
          <t>Month 2</t>
        </is>
      </c>
      <c r="G39" s="184" t="n"/>
      <c r="H39" s="183" t="inlineStr">
        <is>
          <t>Month 3</t>
        </is>
      </c>
      <c r="I39" s="184" t="n"/>
      <c r="J39" s="183" t="inlineStr">
        <is>
          <t>Month 4</t>
        </is>
      </c>
      <c r="K39" s="184" t="n"/>
      <c r="L39" s="183" t="inlineStr">
        <is>
          <t>Month 5</t>
        </is>
      </c>
      <c r="M39" s="184" t="n"/>
      <c r="N39" s="183" t="inlineStr">
        <is>
          <t>Month 6</t>
        </is>
      </c>
      <c r="O39" s="184" t="n"/>
      <c r="P39" s="183" t="inlineStr">
        <is>
          <t>Month 7</t>
        </is>
      </c>
      <c r="Q39" s="184" t="n"/>
      <c r="R39" s="183" t="inlineStr">
        <is>
          <t>Month 8</t>
        </is>
      </c>
      <c r="S39" s="184" t="n"/>
      <c r="T39" s="183" t="inlineStr">
        <is>
          <t>Month 9</t>
        </is>
      </c>
      <c r="U39" s="184" t="n"/>
      <c r="V39" s="183" t="inlineStr">
        <is>
          <t>Month 10</t>
        </is>
      </c>
      <c r="W39" s="184" t="n"/>
      <c r="X39" s="183" t="inlineStr">
        <is>
          <t>Month 11</t>
        </is>
      </c>
      <c r="Y39" s="184" t="n"/>
      <c r="Z39" s="187" t="inlineStr">
        <is>
          <t>Principal Apportionment - PAnual Submission</t>
        </is>
      </c>
      <c r="AA39" s="185" t="n"/>
      <c r="AB39" s="184" t="n"/>
      <c r="AC39" s="13" t="n"/>
      <c r="AD39" s="13" t="n"/>
      <c r="AE39" s="13" t="n"/>
      <c r="AF39" s="13" t="n"/>
      <c r="AG39" s="13" t="n"/>
    </row>
    <row r="40" ht="15" customHeight="1" s="172">
      <c r="A40" s="31" t="n"/>
      <c r="B40" s="32" t="n"/>
      <c r="C40" s="33" t="n"/>
      <c r="D40" s="34" t="n"/>
      <c r="E40" s="57" t="n"/>
      <c r="F40" s="33" t="n"/>
      <c r="G40" s="34" t="n"/>
      <c r="H40" s="33" t="n"/>
      <c r="I40" s="35" t="n"/>
      <c r="J40" s="36" t="n"/>
      <c r="K40" s="35" t="n"/>
      <c r="L40" s="36" t="n"/>
      <c r="M40" s="35" t="n"/>
      <c r="N40" s="33" t="n"/>
      <c r="O40" s="34" t="n"/>
      <c r="P40" s="33" t="n"/>
      <c r="Q40" s="34" t="n"/>
      <c r="R40" s="33" t="n"/>
      <c r="S40" s="34" t="n"/>
      <c r="T40" s="33" t="n"/>
      <c r="U40" s="34" t="n"/>
      <c r="V40" s="33" t="n"/>
      <c r="W40" s="34" t="n"/>
      <c r="X40" s="33" t="n"/>
      <c r="Y40" s="34" t="n"/>
      <c r="Z40" s="57" t="n"/>
      <c r="AA40" s="57" t="n"/>
      <c r="AB40" s="46" t="n"/>
      <c r="AC40" s="18" t="n"/>
      <c r="AD40" s="18" t="n"/>
      <c r="AE40" s="18" t="n"/>
      <c r="AF40" s="18" t="n"/>
      <c r="AG40" s="18" t="n"/>
    </row>
    <row r="41" ht="15" customHeight="1" s="172">
      <c r="A41" s="49" t="n"/>
      <c r="B41" s="32" t="n"/>
      <c r="C41" s="38" t="inlineStr">
        <is>
          <t>Completed</t>
        </is>
      </c>
      <c r="D41" s="39" t="inlineStr">
        <is>
          <t>Date</t>
        </is>
      </c>
      <c r="E41" s="40" t="n"/>
      <c r="F41" s="38" t="inlineStr">
        <is>
          <t>Completed</t>
        </is>
      </c>
      <c r="G41" s="39" t="inlineStr">
        <is>
          <t>Date</t>
        </is>
      </c>
      <c r="H41" s="38" t="inlineStr">
        <is>
          <t>Completed</t>
        </is>
      </c>
      <c r="I41" s="39" t="inlineStr">
        <is>
          <t>Date</t>
        </is>
      </c>
      <c r="J41" s="38" t="inlineStr">
        <is>
          <t>Completed</t>
        </is>
      </c>
      <c r="K41" s="39" t="inlineStr">
        <is>
          <t>Date</t>
        </is>
      </c>
      <c r="L41" s="38" t="inlineStr">
        <is>
          <t>Completed</t>
        </is>
      </c>
      <c r="M41" s="39" t="inlineStr">
        <is>
          <t>Date</t>
        </is>
      </c>
      <c r="N41" s="38" t="inlineStr">
        <is>
          <t>Completed</t>
        </is>
      </c>
      <c r="O41" s="39" t="inlineStr">
        <is>
          <t>Date</t>
        </is>
      </c>
      <c r="P41" s="38" t="inlineStr">
        <is>
          <t>Completed</t>
        </is>
      </c>
      <c r="Q41" s="39" t="inlineStr">
        <is>
          <t>Date</t>
        </is>
      </c>
      <c r="R41" s="38" t="inlineStr">
        <is>
          <t>Completed</t>
        </is>
      </c>
      <c r="S41" s="39" t="inlineStr">
        <is>
          <t>Date</t>
        </is>
      </c>
      <c r="T41" s="38" t="inlineStr">
        <is>
          <t>Completed</t>
        </is>
      </c>
      <c r="U41" s="39" t="inlineStr">
        <is>
          <t>Date</t>
        </is>
      </c>
      <c r="V41" s="38" t="inlineStr">
        <is>
          <t>Completed</t>
        </is>
      </c>
      <c r="W41" s="39" t="inlineStr">
        <is>
          <t>Date</t>
        </is>
      </c>
      <c r="X41" s="38" t="inlineStr">
        <is>
          <t>Completed</t>
        </is>
      </c>
      <c r="Y41" s="39" t="inlineStr">
        <is>
          <t>Date</t>
        </is>
      </c>
      <c r="Z41" s="40" t="inlineStr">
        <is>
          <t>Completed</t>
        </is>
      </c>
      <c r="AA41" s="40" t="inlineStr">
        <is>
          <t>Date</t>
        </is>
      </c>
      <c r="AB41" s="41" t="inlineStr">
        <is>
          <t>Notes</t>
        </is>
      </c>
      <c r="AC41" s="18" t="n"/>
      <c r="AD41" s="18" t="n"/>
      <c r="AE41" s="18" t="n"/>
      <c r="AF41" s="18" t="n"/>
      <c r="AG41" s="18" t="n"/>
    </row>
    <row r="42" ht="15" customHeight="1" s="172">
      <c r="A42" s="31" t="inlineStr">
        <is>
          <t>CCCS TK-8</t>
        </is>
      </c>
      <c r="B42" s="47" t="n">
        <v>830</v>
      </c>
      <c r="C42" s="30" t="b">
        <v>0</v>
      </c>
      <c r="D42" s="43" t="n"/>
      <c r="E42" s="48" t="n"/>
      <c r="F42" s="44" t="b">
        <v>0</v>
      </c>
      <c r="G42" s="45" t="n"/>
      <c r="H42" s="44" t="b">
        <v>0</v>
      </c>
      <c r="I42" s="45" t="n"/>
      <c r="J42" s="44" t="b">
        <v>0</v>
      </c>
      <c r="K42" s="45" t="n"/>
      <c r="L42" s="44" t="b">
        <v>0</v>
      </c>
      <c r="M42" s="45" t="n"/>
      <c r="N42" s="44" t="b">
        <v>0</v>
      </c>
      <c r="O42" s="43" t="n"/>
      <c r="P42" s="44" t="b">
        <v>0</v>
      </c>
      <c r="Q42" s="43" t="n"/>
      <c r="R42" s="44" t="b">
        <v>0</v>
      </c>
      <c r="S42" s="43" t="n"/>
      <c r="T42" s="44" t="b">
        <v>0</v>
      </c>
      <c r="U42" s="45" t="n"/>
      <c r="V42" s="44" t="b">
        <v>0</v>
      </c>
      <c r="W42" s="45" t="n"/>
      <c r="X42" s="44" t="b">
        <v>0</v>
      </c>
      <c r="Y42" s="45" t="n"/>
      <c r="Z42" s="13" t="b">
        <v>0</v>
      </c>
      <c r="AA42" s="18" t="n"/>
      <c r="AB42" s="46" t="n"/>
      <c r="AC42" s="18" t="n"/>
      <c r="AD42" s="18" t="n"/>
      <c r="AE42" s="18" t="n"/>
      <c r="AF42" s="18" t="n"/>
      <c r="AG42" s="18" t="n"/>
    </row>
    <row r="43" ht="15" customHeight="1" s="172">
      <c r="A43" s="31" t="inlineStr">
        <is>
          <t>CCCS 9-12</t>
        </is>
      </c>
      <c r="B43" s="42" t="n">
        <v>815</v>
      </c>
      <c r="C43" s="44" t="b">
        <v>0</v>
      </c>
      <c r="D43" s="45" t="n"/>
      <c r="E43" s="48" t="n"/>
      <c r="F43" s="44" t="b">
        <v>0</v>
      </c>
      <c r="G43" s="45" t="n"/>
      <c r="H43" s="44" t="b">
        <v>0</v>
      </c>
      <c r="I43" s="45" t="n"/>
      <c r="J43" s="44" t="b">
        <v>0</v>
      </c>
      <c r="K43" s="45" t="n"/>
      <c r="L43" s="44" t="b">
        <v>0</v>
      </c>
      <c r="M43" s="45" t="n"/>
      <c r="N43" s="44" t="b">
        <v>0</v>
      </c>
      <c r="O43" s="45" t="n"/>
      <c r="P43" s="44" t="b">
        <v>0</v>
      </c>
      <c r="Q43" s="45" t="n"/>
      <c r="R43" s="44" t="b">
        <v>0</v>
      </c>
      <c r="S43" s="45" t="n"/>
      <c r="T43" s="44" t="b">
        <v>0</v>
      </c>
      <c r="U43" s="45" t="n"/>
      <c r="V43" s="44" t="b">
        <v>0</v>
      </c>
      <c r="W43" s="45" t="n"/>
      <c r="X43" s="44" t="b">
        <v>0</v>
      </c>
      <c r="Y43" s="45" t="n"/>
      <c r="Z43" s="13" t="b">
        <v>0</v>
      </c>
      <c r="AA43" s="18" t="n"/>
      <c r="AB43" s="46" t="n"/>
      <c r="AC43" s="18" t="n"/>
      <c r="AD43" s="18" t="n"/>
      <c r="AE43" s="18" t="n"/>
      <c r="AF43" s="18" t="n"/>
      <c r="AG43" s="18" t="n"/>
    </row>
    <row r="44" ht="15" customHeight="1" s="172">
      <c r="A44" s="31" t="inlineStr">
        <is>
          <t>CCCS VA</t>
        </is>
      </c>
      <c r="B44" s="42" t="n">
        <v>805</v>
      </c>
      <c r="C44" s="44" t="b">
        <v>0</v>
      </c>
      <c r="D44" s="45" t="n"/>
      <c r="E44" s="48" t="n"/>
      <c r="F44" s="44" t="b">
        <v>0</v>
      </c>
      <c r="G44" s="45" t="n"/>
      <c r="H44" s="44" t="b">
        <v>0</v>
      </c>
      <c r="I44" s="45" t="n"/>
      <c r="J44" s="44" t="b">
        <v>0</v>
      </c>
      <c r="K44" s="45" t="n"/>
      <c r="L44" s="44" t="b">
        <v>0</v>
      </c>
      <c r="M44" s="48" t="n"/>
      <c r="N44" s="44" t="b">
        <v>0</v>
      </c>
      <c r="O44" s="45" t="n"/>
      <c r="P44" s="44" t="b">
        <v>0</v>
      </c>
      <c r="Q44" s="45" t="n"/>
      <c r="R44" s="44" t="b">
        <v>0</v>
      </c>
      <c r="S44" s="45" t="n"/>
      <c r="T44" s="44" t="b">
        <v>0</v>
      </c>
      <c r="U44" s="45" t="n"/>
      <c r="V44" s="44" t="b">
        <v>0</v>
      </c>
      <c r="W44" s="45" t="n"/>
      <c r="X44" s="44" t="b">
        <v>0</v>
      </c>
      <c r="Y44" s="45" t="n"/>
      <c r="Z44" s="13" t="b">
        <v>0</v>
      </c>
      <c r="AA44" s="18" t="n"/>
      <c r="AB44" s="46" t="n"/>
      <c r="AC44" s="18" t="n"/>
      <c r="AD44" s="18" t="n"/>
      <c r="AE44" s="18" t="n"/>
      <c r="AF44" s="18" t="n"/>
      <c r="AG44" s="18" t="n"/>
    </row>
    <row r="45" ht="15" customHeight="1" s="172">
      <c r="A45" s="31" t="inlineStr">
        <is>
          <t>SAVA TRUSD</t>
        </is>
      </c>
      <c r="B45" s="42" t="n">
        <v>840</v>
      </c>
      <c r="C45" s="44" t="b">
        <v>0</v>
      </c>
      <c r="D45" s="45" t="n"/>
      <c r="E45" s="48" t="n"/>
      <c r="F45" s="44" t="b">
        <v>0</v>
      </c>
      <c r="G45" s="45" t="n"/>
      <c r="H45" s="44" t="b">
        <v>0</v>
      </c>
      <c r="I45" s="45" t="n"/>
      <c r="J45" s="44" t="b">
        <v>0</v>
      </c>
      <c r="K45" s="45" t="n"/>
      <c r="L45" s="44" t="b">
        <v>0</v>
      </c>
      <c r="M45" s="48" t="n"/>
      <c r="N45" s="44" t="b">
        <v>0</v>
      </c>
      <c r="O45" s="45" t="n"/>
      <c r="P45" s="44" t="b">
        <v>0</v>
      </c>
      <c r="Q45" s="45" t="n"/>
      <c r="R45" s="44" t="b">
        <v>0</v>
      </c>
      <c r="S45" s="45" t="n"/>
      <c r="T45" s="44" t="b">
        <v>0</v>
      </c>
      <c r="U45" s="45" t="n"/>
      <c r="V45" s="44" t="b">
        <v>0</v>
      </c>
      <c r="W45" s="45" t="n"/>
      <c r="X45" s="44" t="b">
        <v>0</v>
      </c>
      <c r="Y45" s="45" t="n"/>
      <c r="Z45" s="13" t="b">
        <v>0</v>
      </c>
      <c r="AA45" s="18" t="n"/>
      <c r="AB45" s="46" t="n"/>
      <c r="AC45" s="18" t="n"/>
      <c r="AD45" s="18" t="n"/>
      <c r="AE45" s="18" t="n"/>
      <c r="AF45" s="18" t="n"/>
      <c r="AG45" s="18" t="n"/>
    </row>
    <row r="46" ht="15" customHeight="1" s="172">
      <c r="A46" s="31" t="inlineStr">
        <is>
          <t>SAVA EGUSD</t>
        </is>
      </c>
      <c r="B46" s="42" t="n">
        <v>847</v>
      </c>
      <c r="C46" s="44" t="b">
        <v>0</v>
      </c>
      <c r="D46" s="45" t="n"/>
      <c r="E46" s="48" t="n"/>
      <c r="F46" s="44" t="b">
        <v>0</v>
      </c>
      <c r="G46" s="45" t="n"/>
      <c r="H46" s="44" t="b">
        <v>0</v>
      </c>
      <c r="I46" s="45" t="n"/>
      <c r="J46" s="44" t="b">
        <v>0</v>
      </c>
      <c r="K46" s="45" t="n"/>
      <c r="L46" s="44" t="b">
        <v>0</v>
      </c>
      <c r="M46" s="48" t="n"/>
      <c r="N46" s="44" t="b">
        <v>0</v>
      </c>
      <c r="O46" s="45" t="n"/>
      <c r="P46" s="44" t="b">
        <v>0</v>
      </c>
      <c r="Q46" s="45" t="n"/>
      <c r="R46" s="44" t="b">
        <v>0</v>
      </c>
      <c r="S46" s="45" t="n"/>
      <c r="T46" s="44" t="b">
        <v>0</v>
      </c>
      <c r="U46" s="45" t="n"/>
      <c r="V46" s="44" t="b">
        <v>0</v>
      </c>
      <c r="W46" s="45" t="n"/>
      <c r="X46" s="44" t="b">
        <v>0</v>
      </c>
      <c r="Y46" s="45" t="n"/>
      <c r="Z46" s="13" t="b">
        <v>0</v>
      </c>
      <c r="AA46" s="18" t="n"/>
      <c r="AB46" s="46" t="n"/>
      <c r="AC46" s="18" t="n"/>
      <c r="AD46" s="18" t="n"/>
      <c r="AE46" s="18" t="n"/>
      <c r="AF46" s="18" t="n"/>
      <c r="AG46" s="18" t="n"/>
    </row>
    <row r="47" ht="15" customHeight="1" s="172">
      <c r="A47" s="31" t="inlineStr">
        <is>
          <t>SAVA SCUSD PI</t>
        </is>
      </c>
      <c r="B47" s="42" t="n">
        <v>848</v>
      </c>
      <c r="C47" s="44" t="b">
        <v>0</v>
      </c>
      <c r="D47" s="45" t="n"/>
      <c r="E47" s="48" t="n"/>
      <c r="F47" s="44" t="b">
        <v>0</v>
      </c>
      <c r="G47" s="45" t="n"/>
      <c r="H47" s="44" t="b">
        <v>0</v>
      </c>
      <c r="I47" s="45" t="n"/>
      <c r="J47" s="44" t="b">
        <v>0</v>
      </c>
      <c r="K47" s="45" t="n"/>
      <c r="L47" s="44" t="b">
        <v>0</v>
      </c>
      <c r="M47" s="45" t="n"/>
      <c r="N47" s="44" t="b">
        <v>0</v>
      </c>
      <c r="O47" s="45" t="n"/>
      <c r="P47" s="44" t="b">
        <v>0</v>
      </c>
      <c r="Q47" s="45" t="n"/>
      <c r="R47" s="44" t="b">
        <v>0</v>
      </c>
      <c r="S47" s="45" t="n"/>
      <c r="T47" s="44" t="b">
        <v>0</v>
      </c>
      <c r="U47" s="45" t="n"/>
      <c r="V47" s="44" t="b">
        <v>0</v>
      </c>
      <c r="W47" s="45" t="n"/>
      <c r="X47" s="44" t="b">
        <v>0</v>
      </c>
      <c r="Y47" s="45" t="n"/>
      <c r="Z47" s="13" t="b">
        <v>0</v>
      </c>
      <c r="AA47" s="18" t="n"/>
      <c r="AB47" s="46" t="n"/>
      <c r="AC47" s="18" t="n"/>
      <c r="AD47" s="18" t="n"/>
      <c r="AE47" s="18" t="n"/>
      <c r="AF47" s="18" t="n"/>
      <c r="AG47" s="18" t="n"/>
    </row>
    <row r="48" ht="15" customHeight="1" s="172">
      <c r="A48" s="49" t="inlineStr">
        <is>
          <t>SAVA SCUSD Sim</t>
        </is>
      </c>
      <c r="B48" s="50" t="n">
        <v>849</v>
      </c>
      <c r="C48" s="38" t="b">
        <v>0</v>
      </c>
      <c r="D48" s="52" t="n"/>
      <c r="E48" s="167" t="n"/>
      <c r="F48" s="38" t="b">
        <v>0</v>
      </c>
      <c r="G48" s="52" t="n"/>
      <c r="H48" s="38" t="b">
        <v>0</v>
      </c>
      <c r="I48" s="52" t="n"/>
      <c r="J48" s="38" t="b">
        <v>0</v>
      </c>
      <c r="K48" s="52" t="n"/>
      <c r="L48" s="38" t="b">
        <v>0</v>
      </c>
      <c r="M48" s="52" t="n"/>
      <c r="N48" s="38" t="b">
        <v>0</v>
      </c>
      <c r="O48" s="52" t="n"/>
      <c r="P48" s="38" t="b">
        <v>0</v>
      </c>
      <c r="Q48" s="52" t="n"/>
      <c r="R48" s="38" t="b">
        <v>0</v>
      </c>
      <c r="S48" s="52" t="n"/>
      <c r="T48" s="38" t="b">
        <v>0</v>
      </c>
      <c r="U48" s="45" t="n"/>
      <c r="V48" s="38" t="b">
        <v>0</v>
      </c>
      <c r="W48" s="45" t="n"/>
      <c r="X48" s="38" t="b">
        <v>0</v>
      </c>
      <c r="Y48" s="45" t="n"/>
      <c r="Z48" s="40" t="b">
        <v>0</v>
      </c>
      <c r="AA48" s="14" t="n"/>
      <c r="AB48" s="41" t="n"/>
      <c r="AC48" s="18" t="n"/>
      <c r="AD48" s="18" t="n"/>
      <c r="AE48" s="18" t="n"/>
      <c r="AF48" s="18" t="n"/>
      <c r="AG48" s="18" t="n"/>
    </row>
    <row r="49" ht="12.75" customHeight="1" s="172">
      <c r="A49" s="65" t="n"/>
      <c r="B49" s="66" t="n"/>
      <c r="C49" s="67" t="n"/>
      <c r="D49" s="67" t="n"/>
      <c r="E49" s="67" t="n"/>
      <c r="F49" s="66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6" t="n"/>
      <c r="W49" s="67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</row>
    <row r="50" ht="51" customHeight="1" s="172">
      <c r="A50" s="68" t="inlineStr">
        <is>
          <t>Tradtional Reconcialation Method</t>
        </is>
      </c>
      <c r="B50" s="66" t="inlineStr">
        <is>
          <t>School</t>
        </is>
      </c>
      <c r="C50" s="67" t="inlineStr">
        <is>
          <t>Active Month</t>
        </is>
      </c>
      <c r="D50" s="67" t="inlineStr">
        <is>
          <t>Last Month Open</t>
        </is>
      </c>
      <c r="E50" s="67" t="n"/>
      <c r="F50" s="66" t="inlineStr">
        <is>
          <t>Prior Months
Locked</t>
        </is>
      </c>
      <c r="G50" s="67" t="inlineStr">
        <is>
          <t>Re-open Request 
Date &amp; by whom</t>
        </is>
      </c>
      <c r="H50" s="67" t="inlineStr">
        <is>
          <t>Re-close Request Date</t>
        </is>
      </c>
      <c r="I50" s="67" t="inlineStr">
        <is>
          <t>Comments from School site</t>
        </is>
      </c>
      <c r="J50" s="67" t="inlineStr">
        <is>
          <t>What Months Are Open In Aeries?</t>
        </is>
      </c>
      <c r="K50" s="67" t="inlineStr">
        <is>
          <t>Comments from DAD Team</t>
        </is>
      </c>
      <c r="L50" s="69" t="inlineStr">
        <is>
          <t>What Months Are in ADA Dashboard</t>
        </is>
      </c>
      <c r="M50" s="69" t="inlineStr">
        <is>
          <t>Update date for  
Data Dashboard - ADA Losses</t>
        </is>
      </c>
      <c r="N50" s="67" t="inlineStr">
        <is>
          <t>P1 Data Entered</t>
        </is>
      </c>
      <c r="O50" s="67" t="inlineStr">
        <is>
          <t>P1 Data Validated and Copies in Drive</t>
        </is>
      </c>
      <c r="P50" s="67" t="inlineStr">
        <is>
          <t>P2 Data Entered</t>
        </is>
      </c>
      <c r="Q50" s="67" t="inlineStr">
        <is>
          <t>P2 Data Certified</t>
        </is>
      </c>
      <c r="R50" s="67" t="inlineStr">
        <is>
          <t>P2 Data Validated and Copies in Drive</t>
        </is>
      </c>
      <c r="S50" s="67" t="inlineStr">
        <is>
          <t>P3 Data Entered</t>
        </is>
      </c>
      <c r="T50" s="67" t="inlineStr">
        <is>
          <t>P3 Data Certified</t>
        </is>
      </c>
      <c r="U50" s="67" t="inlineStr">
        <is>
          <t>P3 Data Validated and Copies in Drive</t>
        </is>
      </c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</row>
    <row r="51" ht="16.5" customHeight="1" s="172">
      <c r="A51" s="70" t="inlineStr">
        <is>
          <t>Nadya Voytovich</t>
        </is>
      </c>
      <c r="B51" s="27" t="inlineStr">
        <is>
          <t>COA Elem</t>
        </is>
      </c>
      <c r="C51" s="18" t="n"/>
      <c r="D51" s="13" t="b">
        <v>0</v>
      </c>
      <c r="E51" s="13" t="n"/>
      <c r="F51" s="13" t="b">
        <v>0</v>
      </c>
      <c r="G51" s="18" t="n"/>
      <c r="H51" s="18" t="n"/>
      <c r="I51" s="18" t="n"/>
      <c r="J51" s="71" t="n"/>
      <c r="K51" s="72" t="n"/>
      <c r="L51" s="13" t="n"/>
      <c r="M51" s="57" t="n"/>
      <c r="N51" s="13" t="b">
        <v>0</v>
      </c>
      <c r="O51" s="13" t="b">
        <v>0</v>
      </c>
      <c r="P51" s="13" t="b">
        <v>0</v>
      </c>
      <c r="Q51" s="13" t="b">
        <v>0</v>
      </c>
      <c r="R51" s="13" t="b">
        <v>0</v>
      </c>
      <c r="S51" s="13" t="b">
        <v>0</v>
      </c>
      <c r="T51" s="13" t="b">
        <v>0</v>
      </c>
      <c r="U51" s="13" t="b">
        <v>0</v>
      </c>
      <c r="V51" s="13" t="b">
        <v>0</v>
      </c>
      <c r="W51" s="13" t="b">
        <v>0</v>
      </c>
      <c r="X51" s="13" t="b">
        <v>0</v>
      </c>
      <c r="Y51" s="13" t="b">
        <v>0</v>
      </c>
      <c r="Z51" s="13" t="b">
        <v>0</v>
      </c>
      <c r="AA51" s="13" t="b">
        <v>0</v>
      </c>
      <c r="AB51" s="13" t="b">
        <v>0</v>
      </c>
      <c r="AC51" s="13" t="b">
        <v>0</v>
      </c>
      <c r="AD51" s="13" t="b">
        <v>0</v>
      </c>
      <c r="AE51" s="13" t="b">
        <v>0</v>
      </c>
      <c r="AF51" s="13" t="b">
        <v>0</v>
      </c>
      <c r="AG51" s="13" t="b">
        <v>0</v>
      </c>
    </row>
    <row r="52" ht="16.5" customHeight="1" s="172">
      <c r="A52" s="70" t="inlineStr">
        <is>
          <t>Anastasia Derevyanchuk</t>
        </is>
      </c>
      <c r="B52" s="27" t="inlineStr">
        <is>
          <t>COA MID</t>
        </is>
      </c>
      <c r="C52" s="18" t="n"/>
      <c r="D52" s="13" t="b">
        <v>0</v>
      </c>
      <c r="E52" s="13" t="n"/>
      <c r="F52" s="13" t="b">
        <v>0</v>
      </c>
      <c r="G52" s="18" t="n"/>
      <c r="H52" s="18" t="n"/>
      <c r="I52" s="72" t="n"/>
      <c r="J52" s="71" t="n"/>
      <c r="K52" s="72" t="n"/>
      <c r="L52" s="13" t="n"/>
      <c r="M52" s="57" t="n"/>
      <c r="N52" s="13" t="b">
        <v>0</v>
      </c>
      <c r="O52" s="13" t="b">
        <v>0</v>
      </c>
      <c r="P52" s="13" t="b">
        <v>0</v>
      </c>
      <c r="Q52" s="13" t="b">
        <v>0</v>
      </c>
      <c r="R52" s="13" t="b">
        <v>0</v>
      </c>
      <c r="S52" s="13" t="b">
        <v>0</v>
      </c>
      <c r="T52" s="13" t="b">
        <v>0</v>
      </c>
      <c r="U52" s="13" t="b">
        <v>0</v>
      </c>
      <c r="V52" s="13" t="b">
        <v>0</v>
      </c>
      <c r="W52" s="13" t="b">
        <v>0</v>
      </c>
      <c r="X52" s="13" t="b">
        <v>0</v>
      </c>
      <c r="Y52" s="13" t="b">
        <v>0</v>
      </c>
      <c r="Z52" s="13" t="b">
        <v>0</v>
      </c>
      <c r="AA52" s="13" t="b">
        <v>0</v>
      </c>
      <c r="AB52" s="13" t="b">
        <v>0</v>
      </c>
      <c r="AC52" s="13" t="b">
        <v>0</v>
      </c>
      <c r="AD52" s="13" t="b">
        <v>0</v>
      </c>
      <c r="AE52" s="13" t="b">
        <v>0</v>
      </c>
      <c r="AF52" s="13" t="b">
        <v>0</v>
      </c>
      <c r="AG52" s="13" t="b">
        <v>0</v>
      </c>
    </row>
    <row r="53" ht="16.5" customHeight="1" s="172">
      <c r="A53" s="70" t="inlineStr">
        <is>
          <t>Pamela Hamilton</t>
        </is>
      </c>
      <c r="B53" s="27" t="inlineStr">
        <is>
          <t>HLA</t>
        </is>
      </c>
      <c r="C53" s="18" t="n"/>
      <c r="D53" s="13" t="b">
        <v>0</v>
      </c>
      <c r="E53" s="13" t="n"/>
      <c r="F53" s="13" t="b">
        <v>0</v>
      </c>
      <c r="G53" s="18" t="n"/>
      <c r="H53" s="73" t="n"/>
      <c r="I53" s="18" t="n"/>
      <c r="J53" s="71" t="n"/>
      <c r="K53" s="74" t="n"/>
      <c r="L53" s="13" t="n"/>
      <c r="M53" s="57" t="n"/>
      <c r="N53" s="13" t="b">
        <v>0</v>
      </c>
      <c r="O53" s="13" t="b">
        <v>0</v>
      </c>
      <c r="P53" s="13" t="b">
        <v>0</v>
      </c>
      <c r="Q53" s="13" t="b">
        <v>0</v>
      </c>
      <c r="R53" s="13" t="b">
        <v>0</v>
      </c>
      <c r="S53" s="13" t="b">
        <v>0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 t="b">
        <v>0</v>
      </c>
      <c r="AA53" s="13" t="b">
        <v>0</v>
      </c>
      <c r="AB53" s="13" t="b">
        <v>0</v>
      </c>
      <c r="AC53" s="13" t="b">
        <v>0</v>
      </c>
      <c r="AD53" s="13" t="b">
        <v>0</v>
      </c>
      <c r="AE53" s="13" t="b">
        <v>0</v>
      </c>
      <c r="AF53" s="13" t="b">
        <v>0</v>
      </c>
      <c r="AG53" s="13" t="b">
        <v>0</v>
      </c>
    </row>
    <row r="54" ht="16.5" customHeight="1" s="172">
      <c r="A54" s="70" t="inlineStr">
        <is>
          <t>Mariah Powers</t>
        </is>
      </c>
      <c r="B54" s="27" t="inlineStr">
        <is>
          <t>SAVA -TR</t>
        </is>
      </c>
      <c r="C54" s="18" t="n"/>
      <c r="D54" s="13" t="b">
        <v>0</v>
      </c>
      <c r="E54" s="13" t="n"/>
      <c r="F54" s="13" t="b">
        <v>0</v>
      </c>
      <c r="G54" s="18" t="n"/>
      <c r="H54" s="73" t="n"/>
      <c r="I54" s="18" t="n"/>
      <c r="J54" s="71" t="n"/>
      <c r="K54" s="72" t="n"/>
      <c r="L54" s="13" t="n"/>
      <c r="M54" s="57" t="n"/>
      <c r="N54" s="13" t="b">
        <v>0</v>
      </c>
      <c r="O54" s="13" t="b">
        <v>0</v>
      </c>
      <c r="P54" s="13" t="b">
        <v>0</v>
      </c>
      <c r="Q54" s="13" t="b">
        <v>0</v>
      </c>
      <c r="R54" s="13" t="b">
        <v>0</v>
      </c>
      <c r="S54" s="13" t="b">
        <v>0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 t="b">
        <v>0</v>
      </c>
      <c r="AA54" s="13" t="b">
        <v>0</v>
      </c>
      <c r="AB54" s="13" t="b">
        <v>0</v>
      </c>
      <c r="AC54" s="13" t="b">
        <v>0</v>
      </c>
      <c r="AD54" s="13" t="b">
        <v>0</v>
      </c>
      <c r="AE54" s="13" t="b">
        <v>0</v>
      </c>
      <c r="AF54" s="13" t="b">
        <v>0</v>
      </c>
      <c r="AG54" s="13" t="b">
        <v>0</v>
      </c>
    </row>
    <row r="55" ht="16.5" customHeight="1" s="172">
      <c r="A55" s="70" t="inlineStr">
        <is>
          <t>Mariah Powers</t>
        </is>
      </c>
      <c r="B55" s="27" t="inlineStr">
        <is>
          <t>SAVA -EG</t>
        </is>
      </c>
      <c r="C55" s="18" t="n"/>
      <c r="D55" s="13" t="b">
        <v>0</v>
      </c>
      <c r="E55" s="13" t="n"/>
      <c r="F55" s="13" t="b">
        <v>0</v>
      </c>
      <c r="G55" s="18" t="n"/>
      <c r="H55" s="73" t="n"/>
      <c r="I55" s="18" t="n"/>
      <c r="J55" s="71" t="n"/>
      <c r="K55" s="72" t="n"/>
      <c r="L55" s="13" t="n"/>
      <c r="M55" s="57" t="n"/>
      <c r="N55" s="13" t="b">
        <v>0</v>
      </c>
      <c r="O55" s="13" t="b">
        <v>0</v>
      </c>
      <c r="P55" s="13" t="b">
        <v>0</v>
      </c>
      <c r="Q55" s="13" t="b">
        <v>0</v>
      </c>
      <c r="R55" s="13" t="b">
        <v>0</v>
      </c>
      <c r="S55" s="13" t="b">
        <v>0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 t="b">
        <v>0</v>
      </c>
      <c r="AA55" s="13" t="b">
        <v>0</v>
      </c>
      <c r="AB55" s="13" t="b">
        <v>0</v>
      </c>
      <c r="AC55" s="13" t="b">
        <v>0</v>
      </c>
      <c r="AD55" s="13" t="b">
        <v>0</v>
      </c>
      <c r="AE55" s="13" t="b">
        <v>0</v>
      </c>
      <c r="AF55" s="13" t="b">
        <v>0</v>
      </c>
      <c r="AG55" s="13" t="b">
        <v>0</v>
      </c>
    </row>
    <row r="56" ht="16.5" customHeight="1" s="172">
      <c r="A56" s="70" t="inlineStr">
        <is>
          <t>Mariah Powers</t>
        </is>
      </c>
      <c r="B56" s="27" t="inlineStr">
        <is>
          <t>SAVA-SC</t>
        </is>
      </c>
      <c r="C56" s="18" t="n"/>
      <c r="D56" s="13" t="b">
        <v>0</v>
      </c>
      <c r="E56" s="13" t="n"/>
      <c r="F56" s="13" t="b">
        <v>0</v>
      </c>
      <c r="G56" s="18" t="n"/>
      <c r="H56" s="73" t="n"/>
      <c r="I56" s="75" t="n"/>
      <c r="J56" s="71" t="n"/>
      <c r="K56" s="72" t="n"/>
      <c r="L56" s="13" t="n"/>
      <c r="M56" s="57" t="n"/>
      <c r="N56" s="13" t="b">
        <v>0</v>
      </c>
      <c r="O56" s="13" t="b">
        <v>0</v>
      </c>
      <c r="P56" s="13" t="b">
        <v>0</v>
      </c>
      <c r="Q56" s="13" t="b">
        <v>0</v>
      </c>
      <c r="R56" s="13" t="b">
        <v>0</v>
      </c>
      <c r="S56" s="13" t="b">
        <v>0</v>
      </c>
      <c r="T56" s="13" t="b">
        <v>0</v>
      </c>
      <c r="U56" s="13" t="b">
        <v>0</v>
      </c>
      <c r="V56" s="13" t="b">
        <v>0</v>
      </c>
      <c r="W56" s="13" t="b">
        <v>0</v>
      </c>
      <c r="X56" s="13" t="b">
        <v>0</v>
      </c>
      <c r="Y56" s="13" t="b">
        <v>0</v>
      </c>
      <c r="Z56" s="13" t="b">
        <v>0</v>
      </c>
      <c r="AA56" s="13" t="b">
        <v>0</v>
      </c>
      <c r="AB56" s="13" t="b">
        <v>0</v>
      </c>
      <c r="AC56" s="13" t="b">
        <v>0</v>
      </c>
      <c r="AD56" s="13" t="b">
        <v>0</v>
      </c>
      <c r="AE56" s="13" t="b">
        <v>0</v>
      </c>
      <c r="AF56" s="13" t="b">
        <v>0</v>
      </c>
      <c r="AG56" s="13" t="b">
        <v>0</v>
      </c>
    </row>
    <row r="57" ht="16.5" customHeight="1" s="172">
      <c r="A57" s="70" t="inlineStr">
        <is>
          <t>Mariah Powers</t>
        </is>
      </c>
      <c r="B57" s="27" t="inlineStr">
        <is>
          <t>SAVA-SIM</t>
        </is>
      </c>
      <c r="C57" s="18" t="n"/>
      <c r="D57" s="13" t="b">
        <v>0</v>
      </c>
      <c r="E57" s="13" t="n"/>
      <c r="F57" s="13" t="b">
        <v>0</v>
      </c>
      <c r="G57" s="18" t="n"/>
      <c r="H57" s="73" t="n"/>
      <c r="I57" s="72" t="n"/>
      <c r="J57" s="71" t="n"/>
      <c r="K57" s="72" t="n"/>
      <c r="L57" s="13" t="n"/>
      <c r="M57" s="57" t="n"/>
      <c r="N57" s="13" t="b">
        <v>0</v>
      </c>
      <c r="O57" s="13" t="b">
        <v>0</v>
      </c>
      <c r="P57" s="13" t="b">
        <v>0</v>
      </c>
      <c r="Q57" s="13" t="b">
        <v>0</v>
      </c>
      <c r="R57" s="13" t="b">
        <v>0</v>
      </c>
      <c r="S57" s="13" t="b">
        <v>0</v>
      </c>
      <c r="T57" s="13" t="b">
        <v>0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0</v>
      </c>
      <c r="Z57" s="13" t="b">
        <v>0</v>
      </c>
      <c r="AA57" s="13" t="b">
        <v>0</v>
      </c>
      <c r="AB57" s="13" t="b">
        <v>0</v>
      </c>
      <c r="AC57" s="13" t="b">
        <v>0</v>
      </c>
      <c r="AD57" s="13" t="b">
        <v>0</v>
      </c>
      <c r="AE57" s="13" t="b">
        <v>0</v>
      </c>
      <c r="AF57" s="13" t="b">
        <v>0</v>
      </c>
      <c r="AG57" s="13" t="b">
        <v>0</v>
      </c>
    </row>
    <row r="58" ht="16.5" customHeight="1" s="172">
      <c r="A58" s="70" t="inlineStr">
        <is>
          <t>Rebecca Hammack</t>
        </is>
      </c>
      <c r="B58" s="27" t="inlineStr">
        <is>
          <t>CCCS 9-12</t>
        </is>
      </c>
      <c r="C58" s="18" t="n"/>
      <c r="D58" s="13" t="b">
        <v>0</v>
      </c>
      <c r="E58" s="13" t="n"/>
      <c r="F58" s="13" t="b">
        <v>0</v>
      </c>
      <c r="G58" s="18" t="n"/>
      <c r="H58" s="73" t="n"/>
      <c r="I58" s="72" t="n"/>
      <c r="J58" s="71" t="n"/>
      <c r="K58" s="72" t="n"/>
      <c r="L58" s="76" t="n"/>
      <c r="M58" s="57" t="n"/>
      <c r="N58" s="13" t="b">
        <v>0</v>
      </c>
      <c r="O58" s="13" t="b">
        <v>0</v>
      </c>
      <c r="P58" s="13" t="b">
        <v>0</v>
      </c>
      <c r="Q58" s="13" t="b">
        <v>0</v>
      </c>
      <c r="R58" s="13" t="b">
        <v>0</v>
      </c>
      <c r="S58" s="13" t="b">
        <v>0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 t="b">
        <v>0</v>
      </c>
      <c r="AA58" s="13" t="b">
        <v>0</v>
      </c>
      <c r="AB58" s="13" t="b">
        <v>0</v>
      </c>
      <c r="AC58" s="13" t="b">
        <v>0</v>
      </c>
      <c r="AD58" s="13" t="b">
        <v>0</v>
      </c>
      <c r="AE58" s="13" t="b">
        <v>0</v>
      </c>
      <c r="AF58" s="13" t="b">
        <v>0</v>
      </c>
      <c r="AG58" s="13" t="b">
        <v>0</v>
      </c>
    </row>
    <row r="59" ht="16.5" customHeight="1" s="172">
      <c r="A59" s="77" t="inlineStr">
        <is>
          <t>Andrea Flores</t>
        </is>
      </c>
      <c r="B59" s="27" t="inlineStr">
        <is>
          <t>CCCS TK-8</t>
        </is>
      </c>
      <c r="C59" s="18" t="n"/>
      <c r="D59" s="13" t="b">
        <v>0</v>
      </c>
      <c r="E59" s="13" t="n"/>
      <c r="F59" s="13" t="b">
        <v>0</v>
      </c>
      <c r="G59" s="18" t="n"/>
      <c r="H59" s="73" t="n"/>
      <c r="I59" s="72" t="n"/>
      <c r="J59" s="71" t="n"/>
      <c r="K59" s="72" t="n"/>
      <c r="L59" s="13" t="n"/>
      <c r="M59" s="57" t="n"/>
      <c r="N59" s="13" t="b">
        <v>0</v>
      </c>
      <c r="O59" s="13" t="b">
        <v>0</v>
      </c>
      <c r="P59" s="13" t="b">
        <v>0</v>
      </c>
      <c r="Q59" s="13" t="b">
        <v>0</v>
      </c>
      <c r="R59" s="13" t="b">
        <v>0</v>
      </c>
      <c r="S59" s="13" t="b">
        <v>0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 t="b">
        <v>0</v>
      </c>
      <c r="AA59" s="13" t="b">
        <v>0</v>
      </c>
      <c r="AB59" s="13" t="b">
        <v>0</v>
      </c>
      <c r="AC59" s="13" t="b">
        <v>0</v>
      </c>
      <c r="AD59" s="13" t="b">
        <v>0</v>
      </c>
      <c r="AE59" s="13" t="b">
        <v>0</v>
      </c>
      <c r="AF59" s="13" t="b">
        <v>0</v>
      </c>
      <c r="AG59" s="13" t="b">
        <v>0</v>
      </c>
    </row>
    <row r="60" ht="16.5" customHeight="1" s="172">
      <c r="A60" s="77" t="inlineStr">
        <is>
          <t>Victoria Vasilenko</t>
        </is>
      </c>
      <c r="B60" s="27" t="inlineStr">
        <is>
          <t>GCC VA</t>
        </is>
      </c>
      <c r="C60" s="18" t="n"/>
      <c r="D60" s="13" t="b">
        <v>0</v>
      </c>
      <c r="E60" s="13" t="n"/>
      <c r="F60" s="13" t="b">
        <v>0</v>
      </c>
      <c r="G60" s="18" t="n"/>
      <c r="H60" s="73" t="n"/>
      <c r="I60" s="72" t="n"/>
      <c r="J60" s="71" t="n"/>
      <c r="K60" s="72" t="n"/>
      <c r="L60" s="13" t="n"/>
      <c r="M60" s="57" t="n"/>
      <c r="N60" s="13" t="b">
        <v>0</v>
      </c>
      <c r="O60" s="13" t="b">
        <v>0</v>
      </c>
      <c r="P60" s="13" t="b">
        <v>0</v>
      </c>
      <c r="Q60" s="13" t="b">
        <v>0</v>
      </c>
      <c r="R60" s="13" t="b">
        <v>0</v>
      </c>
      <c r="S60" s="13" t="b">
        <v>0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 t="b">
        <v>0</v>
      </c>
      <c r="AA60" s="13" t="b">
        <v>0</v>
      </c>
      <c r="AB60" s="13" t="b">
        <v>0</v>
      </c>
      <c r="AC60" s="13" t="b">
        <v>0</v>
      </c>
      <c r="AD60" s="13" t="b">
        <v>0</v>
      </c>
      <c r="AE60" s="13" t="b">
        <v>0</v>
      </c>
      <c r="AF60" s="13" t="b">
        <v>0</v>
      </c>
      <c r="AG60" s="13" t="b">
        <v>0</v>
      </c>
    </row>
    <row r="61" ht="16.5" customHeight="1" s="172">
      <c r="A61" s="70" t="inlineStr">
        <is>
          <t>Natalya Yeremuk</t>
        </is>
      </c>
      <c r="B61" s="27" t="inlineStr">
        <is>
          <t>Futures</t>
        </is>
      </c>
      <c r="C61" s="18" t="n"/>
      <c r="D61" s="13" t="b">
        <v>0</v>
      </c>
      <c r="E61" s="13" t="n"/>
      <c r="F61" s="13" t="b">
        <v>0</v>
      </c>
      <c r="G61" s="18" t="n"/>
      <c r="H61" s="73" t="n"/>
      <c r="I61" s="18" t="n"/>
      <c r="J61" s="71" t="n"/>
      <c r="K61" s="74" t="n"/>
      <c r="L61" s="13" t="n"/>
      <c r="M61" s="57" t="n"/>
      <c r="N61" s="13" t="b">
        <v>0</v>
      </c>
      <c r="O61" s="13" t="b">
        <v>0</v>
      </c>
      <c r="P61" s="13" t="b">
        <v>0</v>
      </c>
      <c r="Q61" s="13" t="b">
        <v>0</v>
      </c>
      <c r="R61" s="13" t="b">
        <v>0</v>
      </c>
      <c r="S61" s="13" t="b">
        <v>0</v>
      </c>
      <c r="T61" s="13" t="b">
        <v>0</v>
      </c>
      <c r="U61" s="13" t="b">
        <v>0</v>
      </c>
      <c r="V61" s="13" t="b">
        <v>0</v>
      </c>
      <c r="W61" s="13" t="b">
        <v>0</v>
      </c>
      <c r="X61" s="13" t="b">
        <v>0</v>
      </c>
      <c r="Y61" s="13" t="b">
        <v>0</v>
      </c>
      <c r="Z61" s="13" t="b">
        <v>0</v>
      </c>
      <c r="AA61" s="13" t="b">
        <v>0</v>
      </c>
      <c r="AB61" s="13" t="b">
        <v>0</v>
      </c>
      <c r="AC61" s="13" t="b">
        <v>0</v>
      </c>
      <c r="AD61" s="13" t="b">
        <v>0</v>
      </c>
      <c r="AE61" s="13" t="b">
        <v>0</v>
      </c>
      <c r="AF61" s="13" t="b">
        <v>0</v>
      </c>
      <c r="AG61" s="13" t="b">
        <v>0</v>
      </c>
    </row>
    <row r="62" ht="16.5" customHeight="1" s="172">
      <c r="A62" s="70" t="inlineStr">
        <is>
          <t>Larisa Astapov</t>
        </is>
      </c>
      <c r="B62" s="27" t="inlineStr">
        <is>
          <t>EPIC</t>
        </is>
      </c>
      <c r="C62" s="18" t="n"/>
      <c r="D62" s="13" t="b">
        <v>0</v>
      </c>
      <c r="E62" s="13" t="n"/>
      <c r="F62" s="13" t="b">
        <v>0</v>
      </c>
      <c r="G62" s="18" t="n"/>
      <c r="H62" s="73" t="n"/>
      <c r="I62" s="72" t="n"/>
      <c r="J62" s="71" t="n"/>
      <c r="K62" s="18" t="n"/>
      <c r="L62" s="13" t="n"/>
      <c r="M62" s="57" t="n"/>
      <c r="N62" s="13" t="b">
        <v>0</v>
      </c>
      <c r="O62" s="13" t="b">
        <v>0</v>
      </c>
      <c r="P62" s="13" t="b">
        <v>0</v>
      </c>
      <c r="Q62" s="13" t="b">
        <v>0</v>
      </c>
      <c r="R62" s="13" t="b">
        <v>0</v>
      </c>
      <c r="S62" s="13" t="b">
        <v>0</v>
      </c>
      <c r="T62" s="13" t="b">
        <v>0</v>
      </c>
      <c r="U62" s="13" t="b">
        <v>0</v>
      </c>
      <c r="V62" s="13" t="b">
        <v>0</v>
      </c>
      <c r="W62" s="13" t="b">
        <v>0</v>
      </c>
      <c r="X62" s="13" t="b">
        <v>0</v>
      </c>
      <c r="Y62" s="13" t="b">
        <v>0</v>
      </c>
      <c r="Z62" s="13" t="b">
        <v>0</v>
      </c>
      <c r="AA62" s="13" t="b">
        <v>0</v>
      </c>
      <c r="AB62" s="13" t="b">
        <v>0</v>
      </c>
      <c r="AC62" s="13" t="b">
        <v>0</v>
      </c>
      <c r="AD62" s="13" t="b">
        <v>0</v>
      </c>
      <c r="AE62" s="13" t="b">
        <v>0</v>
      </c>
      <c r="AF62" s="13" t="b">
        <v>0</v>
      </c>
      <c r="AG62" s="13" t="b">
        <v>0</v>
      </c>
    </row>
    <row r="63" ht="16.5" customHeight="1" s="172">
      <c r="A63" s="77" t="inlineStr">
        <is>
          <t>Galina Chernioglo</t>
        </is>
      </c>
      <c r="B63" s="27" t="inlineStr">
        <is>
          <t>GIS Elem/MID</t>
        </is>
      </c>
      <c r="C63" s="18" t="n"/>
      <c r="D63" s="13" t="b">
        <v>0</v>
      </c>
      <c r="E63" s="13" t="n"/>
      <c r="F63" s="13" t="b">
        <v>0</v>
      </c>
      <c r="G63" s="18" t="n"/>
      <c r="H63" s="73" t="n"/>
      <c r="I63" s="72" t="n"/>
      <c r="J63" s="71" t="n"/>
      <c r="K63" s="78" t="n"/>
      <c r="L63" s="13" t="n"/>
      <c r="M63" s="57" t="n"/>
      <c r="N63" s="13" t="b">
        <v>0</v>
      </c>
      <c r="O63" s="13" t="b">
        <v>0</v>
      </c>
      <c r="P63" s="13" t="b">
        <v>0</v>
      </c>
      <c r="Q63" s="13" t="b">
        <v>0</v>
      </c>
      <c r="R63" s="13" t="b">
        <v>0</v>
      </c>
      <c r="S63" s="13" t="b">
        <v>0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 t="b">
        <v>0</v>
      </c>
      <c r="AA63" s="13" t="b">
        <v>0</v>
      </c>
      <c r="AB63" s="13" t="b">
        <v>0</v>
      </c>
      <c r="AC63" s="13" t="b">
        <v>0</v>
      </c>
      <c r="AD63" s="13" t="b">
        <v>0</v>
      </c>
      <c r="AE63" s="13" t="b">
        <v>0</v>
      </c>
      <c r="AF63" s="13" t="b">
        <v>0</v>
      </c>
      <c r="AG63" s="13" t="b">
        <v>0</v>
      </c>
    </row>
    <row r="64" ht="16.5" customHeight="1" s="172">
      <c r="A64" s="79" t="n"/>
      <c r="B64" s="27" t="n"/>
      <c r="C64" s="18" t="n"/>
      <c r="D64" s="13" t="b">
        <v>0</v>
      </c>
      <c r="E64" s="13" t="n"/>
      <c r="F64" s="13" t="b">
        <v>0</v>
      </c>
      <c r="G64" s="18" t="n"/>
      <c r="H64" s="73" t="n"/>
      <c r="I64" s="72" t="n"/>
      <c r="J64" s="71" t="n"/>
      <c r="K64" s="78" t="n"/>
      <c r="L64" s="13" t="n"/>
      <c r="M64" s="57" t="n"/>
      <c r="N64" s="13" t="b">
        <v>0</v>
      </c>
      <c r="O64" s="13" t="b">
        <v>0</v>
      </c>
      <c r="P64" s="13" t="b">
        <v>0</v>
      </c>
      <c r="Q64" s="13" t="b">
        <v>0</v>
      </c>
      <c r="R64" s="13" t="b">
        <v>0</v>
      </c>
      <c r="S64" s="13" t="b">
        <v>0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 t="b">
        <v>0</v>
      </c>
      <c r="AA64" s="13" t="b">
        <v>0</v>
      </c>
      <c r="AB64" s="13" t="b">
        <v>0</v>
      </c>
      <c r="AC64" s="13" t="b">
        <v>0</v>
      </c>
      <c r="AD64" s="13" t="b">
        <v>0</v>
      </c>
      <c r="AE64" s="13" t="b">
        <v>0</v>
      </c>
      <c r="AF64" s="13" t="b">
        <v>0</v>
      </c>
      <c r="AG64" s="13" t="b">
        <v>0</v>
      </c>
    </row>
    <row r="65" ht="16.5" customHeight="1" s="172">
      <c r="A65" s="79" t="n"/>
      <c r="B65" s="27" t="n"/>
      <c r="C65" s="18" t="n"/>
      <c r="D65" s="13" t="b">
        <v>0</v>
      </c>
      <c r="E65" s="13" t="n"/>
      <c r="F65" s="13" t="b">
        <v>0</v>
      </c>
      <c r="G65" s="18" t="n"/>
      <c r="H65" s="73" t="n"/>
      <c r="I65" s="72" t="n"/>
      <c r="J65" s="71" t="n"/>
      <c r="K65" s="78" t="n"/>
      <c r="L65" s="13" t="n"/>
      <c r="M65" s="57" t="n"/>
      <c r="N65" s="13" t="b">
        <v>0</v>
      </c>
      <c r="O65" s="13" t="b">
        <v>0</v>
      </c>
      <c r="P65" s="13" t="b">
        <v>0</v>
      </c>
      <c r="Q65" s="13" t="b">
        <v>0</v>
      </c>
      <c r="R65" s="13" t="b">
        <v>0</v>
      </c>
      <c r="S65" s="13" t="b">
        <v>0</v>
      </c>
      <c r="T65" s="13" t="b">
        <v>0</v>
      </c>
      <c r="U65" s="13" t="b">
        <v>0</v>
      </c>
      <c r="V65" s="13" t="b">
        <v>0</v>
      </c>
      <c r="W65" s="13" t="b">
        <v>0</v>
      </c>
      <c r="X65" s="13" t="b">
        <v>0</v>
      </c>
      <c r="Y65" s="13" t="b">
        <v>0</v>
      </c>
      <c r="Z65" s="13" t="b">
        <v>0</v>
      </c>
      <c r="AA65" s="13" t="b">
        <v>0</v>
      </c>
      <c r="AB65" s="13" t="b">
        <v>0</v>
      </c>
      <c r="AC65" s="13" t="b">
        <v>0</v>
      </c>
      <c r="AD65" s="13" t="b">
        <v>0</v>
      </c>
      <c r="AE65" s="13" t="b">
        <v>0</v>
      </c>
      <c r="AF65" s="13" t="b">
        <v>0</v>
      </c>
      <c r="AG65" s="13" t="b">
        <v>0</v>
      </c>
    </row>
    <row r="66" ht="16.5" customHeight="1" s="172">
      <c r="A66" s="79" t="n"/>
      <c r="B66" s="27" t="n"/>
      <c r="C66" s="18" t="n"/>
      <c r="D66" s="13" t="n"/>
      <c r="E66" s="13" t="n"/>
      <c r="F66" s="13" t="n"/>
      <c r="G66" s="18" t="n"/>
      <c r="H66" s="73" t="n"/>
      <c r="I66" s="72" t="n"/>
      <c r="J66" s="71" t="n"/>
      <c r="K66" s="78" t="n"/>
      <c r="L66" s="13" t="n"/>
      <c r="M66" s="57" t="n"/>
      <c r="N66" s="13" t="n"/>
      <c r="O66" s="13" t="n"/>
      <c r="P66" s="13" t="n"/>
      <c r="Q66" s="13" t="b">
        <v>0</v>
      </c>
      <c r="R66" s="13" t="b">
        <v>0</v>
      </c>
      <c r="S66" s="13" t="b">
        <v>0</v>
      </c>
      <c r="T66" s="13" t="b">
        <v>0</v>
      </c>
      <c r="U66" s="13" t="b">
        <v>0</v>
      </c>
      <c r="V66" s="13" t="b">
        <v>0</v>
      </c>
      <c r="W66" s="13" t="b">
        <v>0</v>
      </c>
      <c r="X66" s="13" t="b">
        <v>0</v>
      </c>
      <c r="Y66" s="13" t="b">
        <v>0</v>
      </c>
      <c r="Z66" s="13" t="b">
        <v>0</v>
      </c>
      <c r="AA66" s="13" t="b">
        <v>0</v>
      </c>
      <c r="AB66" s="13" t="b">
        <v>0</v>
      </c>
      <c r="AC66" s="13" t="b">
        <v>0</v>
      </c>
      <c r="AD66" s="13" t="b">
        <v>0</v>
      </c>
      <c r="AE66" s="13" t="b">
        <v>0</v>
      </c>
      <c r="AF66" s="13" t="b">
        <v>0</v>
      </c>
      <c r="AG66" s="13" t="b">
        <v>0</v>
      </c>
    </row>
  </sheetData>
  <mergeCells count="38">
    <mergeCell ref="T39:U39"/>
    <mergeCell ref="L2:M2"/>
    <mergeCell ref="J39:K39"/>
    <mergeCell ref="X39:Y39"/>
    <mergeCell ref="N2:P2"/>
    <mergeCell ref="Q1:V12"/>
    <mergeCell ref="R13:S13"/>
    <mergeCell ref="J13:K13"/>
    <mergeCell ref="L13:M13"/>
    <mergeCell ref="Z39:AB39"/>
    <mergeCell ref="H39:I39"/>
    <mergeCell ref="T13:V13"/>
    <mergeCell ref="P27:Q27"/>
    <mergeCell ref="J27:K27"/>
    <mergeCell ref="L39:M39"/>
    <mergeCell ref="R27:S27"/>
    <mergeCell ref="N39:O39"/>
    <mergeCell ref="P39:Q39"/>
    <mergeCell ref="V39:W39"/>
    <mergeCell ref="F2:G2"/>
    <mergeCell ref="H2:I2"/>
    <mergeCell ref="C2:D2"/>
    <mergeCell ref="T27:V27"/>
    <mergeCell ref="A1:P1"/>
    <mergeCell ref="C27:D27"/>
    <mergeCell ref="P13:Q13"/>
    <mergeCell ref="F13:G13"/>
    <mergeCell ref="F27:G27"/>
    <mergeCell ref="H13:I13"/>
    <mergeCell ref="N13:O13"/>
    <mergeCell ref="C39:D39"/>
    <mergeCell ref="H27:I27"/>
    <mergeCell ref="F39:G39"/>
    <mergeCell ref="J2:K2"/>
    <mergeCell ref="L27:M27"/>
    <mergeCell ref="C13:D13"/>
    <mergeCell ref="N27:O27"/>
    <mergeCell ref="R39:S39"/>
  </mergeCells>
  <hyperlinks>
    <hyperlink xmlns:r="http://schemas.openxmlformats.org/officeDocument/2006/relationships" ref="Q1" r:id="rId1"/>
    <hyperlink xmlns:r="http://schemas.openxmlformats.org/officeDocument/2006/relationships" ref="A50" r:id="rId2"/>
    <hyperlink xmlns:r="http://schemas.openxmlformats.org/officeDocument/2006/relationships" ref="L50" r:id="rId3"/>
    <hyperlink xmlns:r="http://schemas.openxmlformats.org/officeDocument/2006/relationships" ref="M50" r:id="rId4"/>
    <hyperlink xmlns:r="http://schemas.openxmlformats.org/officeDocument/2006/relationships" ref="A51" r:id="rId5"/>
    <hyperlink xmlns:r="http://schemas.openxmlformats.org/officeDocument/2006/relationships" ref="A52" r:id="rId6"/>
    <hyperlink xmlns:r="http://schemas.openxmlformats.org/officeDocument/2006/relationships" ref="A53" r:id="rId7"/>
    <hyperlink xmlns:r="http://schemas.openxmlformats.org/officeDocument/2006/relationships" ref="A54" r:id="rId8"/>
    <hyperlink xmlns:r="http://schemas.openxmlformats.org/officeDocument/2006/relationships" ref="A55" r:id="rId9"/>
    <hyperlink xmlns:r="http://schemas.openxmlformats.org/officeDocument/2006/relationships" ref="A56" r:id="rId10"/>
    <hyperlink xmlns:r="http://schemas.openxmlformats.org/officeDocument/2006/relationships" ref="A57" r:id="rId11"/>
    <hyperlink xmlns:r="http://schemas.openxmlformats.org/officeDocument/2006/relationships" ref="A58" r:id="rId12"/>
    <hyperlink xmlns:r="http://schemas.openxmlformats.org/officeDocument/2006/relationships" ref="A59" r:id="rId13"/>
    <hyperlink xmlns:r="http://schemas.openxmlformats.org/officeDocument/2006/relationships" ref="A60" r:id="rId14"/>
    <hyperlink xmlns:r="http://schemas.openxmlformats.org/officeDocument/2006/relationships" ref="A61" r:id="rId15"/>
    <hyperlink xmlns:r="http://schemas.openxmlformats.org/officeDocument/2006/relationships" ref="A62" r:id="rId16"/>
    <hyperlink xmlns:r="http://schemas.openxmlformats.org/officeDocument/2006/relationships" ref="A63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S32"/>
  <sheetViews>
    <sheetView workbookViewId="0">
      <selection activeCell="A1" sqref="A1:S1"/>
    </sheetView>
  </sheetViews>
  <sheetFormatPr baseColWidth="8" defaultColWidth="12.5703125" defaultRowHeight="15.75" customHeight="1"/>
  <cols>
    <col width="24.42578125" customWidth="1" style="172" min="1" max="1"/>
    <col hidden="1" width="24.42578125" customWidth="1" style="172" min="2" max="4"/>
    <col width="24.42578125" customWidth="1" style="172" min="5" max="5"/>
    <col hidden="1" width="24.42578125" customWidth="1" style="172" min="6" max="7"/>
    <col width="24.42578125" customWidth="1" style="172" min="8" max="10"/>
    <col hidden="1" width="24.42578125" customWidth="1" style="172" min="11" max="12"/>
    <col width="24.42578125" customWidth="1" style="172" min="13" max="15"/>
    <col hidden="1" width="24.42578125" customWidth="1" style="172" min="16" max="17"/>
    <col width="24.42578125" customWidth="1" style="172" min="18" max="19"/>
  </cols>
  <sheetData>
    <row r="1" ht="15.75" customHeight="1" s="172">
      <c r="A1" s="190" t="inlineStr">
        <is>
          <t>P1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170" t="n"/>
      <c r="Q1" s="170" t="n"/>
      <c r="R1" s="170" t="n"/>
      <c r="S1" s="179" t="n"/>
    </row>
    <row r="2" ht="12.75" customHeight="1" s="172">
      <c r="A2" s="80" t="n"/>
      <c r="B2" s="81" t="inlineStr">
        <is>
          <t>VA</t>
        </is>
      </c>
      <c r="C2" s="81" t="inlineStr">
        <is>
          <t>CCCS 9-12</t>
        </is>
      </c>
      <c r="D2" s="81" t="inlineStr">
        <is>
          <t>CCCS TK-8</t>
        </is>
      </c>
      <c r="E2" s="81" t="inlineStr">
        <is>
          <t>CCCS TK-12</t>
        </is>
      </c>
      <c r="F2" s="81" t="inlineStr">
        <is>
          <t>COA Elem</t>
        </is>
      </c>
      <c r="G2" s="81" t="inlineStr">
        <is>
          <t>COA MID</t>
        </is>
      </c>
      <c r="H2" s="81" t="inlineStr">
        <is>
          <t>COA</t>
        </is>
      </c>
      <c r="I2" s="81" t="inlineStr">
        <is>
          <t>EPIC</t>
        </is>
      </c>
      <c r="J2" s="81" t="inlineStr">
        <is>
          <t>HLA</t>
        </is>
      </c>
      <c r="K2" s="81" t="inlineStr">
        <is>
          <t>GIS TK-5</t>
        </is>
      </c>
      <c r="L2" s="81" t="inlineStr">
        <is>
          <t>GIS 6-8</t>
        </is>
      </c>
      <c r="M2" s="81" t="inlineStr">
        <is>
          <t>GIS TK-8</t>
        </is>
      </c>
      <c r="N2" s="81" t="inlineStr">
        <is>
          <t>SAVA TR</t>
        </is>
      </c>
      <c r="O2" s="81" t="inlineStr">
        <is>
          <t>SAVA EGUSD</t>
        </is>
      </c>
      <c r="P2" s="81" t="inlineStr">
        <is>
          <t>SAVA SIM</t>
        </is>
      </c>
      <c r="Q2" s="81" t="inlineStr">
        <is>
          <t>SAVA SCUSD</t>
        </is>
      </c>
      <c r="R2" s="81" t="inlineStr">
        <is>
          <t>SAVA SCUSD + SIM</t>
        </is>
      </c>
      <c r="S2" s="81" t="inlineStr">
        <is>
          <t xml:space="preserve">Futures </t>
        </is>
      </c>
    </row>
    <row r="3" ht="25.5" customHeight="1" s="172">
      <c r="A3" s="82" t="inlineStr">
        <is>
          <t>Grades TL/Kindergarten through Three</t>
        </is>
      </c>
      <c r="B3" s="83" t="n"/>
      <c r="C3" s="83" t="n"/>
      <c r="D3" s="83" t="n"/>
      <c r="E3" s="83" t="n"/>
      <c r="F3" s="82" t="n"/>
      <c r="G3" s="82" t="n"/>
      <c r="H3" s="83" t="n"/>
      <c r="I3" s="83" t="n"/>
      <c r="J3" s="83" t="n"/>
      <c r="K3" s="82" t="n"/>
      <c r="L3" s="82" t="n"/>
      <c r="M3" s="83" t="n"/>
      <c r="N3" s="83" t="n"/>
      <c r="O3" s="82" t="n"/>
      <c r="P3" s="82" t="n"/>
      <c r="Q3" s="82" t="n"/>
      <c r="R3" s="82" t="n"/>
      <c r="S3" s="82" t="n"/>
    </row>
    <row r="4" ht="12.75" customHeight="1" s="172">
      <c r="A4" s="82" t="inlineStr">
        <is>
          <t>Grades Four though Six</t>
        </is>
      </c>
      <c r="B4" s="83" t="n"/>
      <c r="C4" s="83" t="n"/>
      <c r="D4" s="83" t="n"/>
      <c r="E4" s="83" t="n"/>
      <c r="F4" s="82" t="n"/>
      <c r="G4" s="82" t="n"/>
      <c r="H4" s="83" t="n"/>
      <c r="I4" s="83" t="n"/>
      <c r="J4" s="83" t="n"/>
      <c r="K4" s="82" t="n"/>
      <c r="L4" s="82" t="n"/>
      <c r="M4" s="83" t="n"/>
      <c r="N4" s="83" t="n"/>
      <c r="O4" s="82" t="n"/>
      <c r="P4" s="82" t="n"/>
      <c r="Q4" s="82" t="n"/>
      <c r="R4" s="82" t="n"/>
      <c r="S4" s="82" t="n"/>
    </row>
    <row r="5" ht="25.5" customHeight="1" s="172">
      <c r="A5" s="82" t="inlineStr">
        <is>
          <t>Grades Seven through Eight</t>
        </is>
      </c>
      <c r="B5" s="83" t="n"/>
      <c r="C5" s="83" t="n"/>
      <c r="D5" s="83" t="n"/>
      <c r="E5" s="83" t="n"/>
      <c r="F5" s="82" t="n"/>
      <c r="G5" s="82" t="n"/>
      <c r="H5" s="83" t="n"/>
      <c r="I5" s="83" t="n"/>
      <c r="J5" s="83" t="n"/>
      <c r="K5" s="82" t="n"/>
      <c r="L5" s="82" t="n"/>
      <c r="M5" s="83" t="n"/>
      <c r="N5" s="83" t="n"/>
      <c r="O5" s="83" t="n"/>
      <c r="P5" s="82" t="n"/>
      <c r="Q5" s="82" t="n"/>
      <c r="R5" s="83" t="n"/>
      <c r="S5" s="82" t="n"/>
    </row>
    <row r="6" ht="12.75" customHeight="1" s="172">
      <c r="A6" s="82" t="inlineStr">
        <is>
          <t>Grades Nine through Twelve</t>
        </is>
      </c>
      <c r="B6" s="83" t="n"/>
      <c r="C6" s="83" t="n"/>
      <c r="D6" s="83" t="n"/>
      <c r="E6" s="83" t="n"/>
      <c r="F6" s="82" t="n"/>
      <c r="G6" s="82" t="n"/>
      <c r="H6" s="82" t="n"/>
      <c r="I6" s="82" t="n"/>
      <c r="J6" s="82" t="n"/>
      <c r="K6" s="82" t="n"/>
      <c r="L6" s="82" t="n"/>
      <c r="M6" s="82" t="n"/>
      <c r="N6" s="83" t="n"/>
      <c r="O6" s="83" t="n"/>
      <c r="P6" s="82" t="n"/>
      <c r="Q6" s="82" t="n"/>
      <c r="R6" s="83" t="n"/>
      <c r="S6" s="83" t="n"/>
    </row>
    <row r="7" ht="12.75" customHeight="1" s="172">
      <c r="A7" s="82" t="inlineStr">
        <is>
          <t>Actual Total</t>
        </is>
      </c>
      <c r="B7" s="84" t="n"/>
      <c r="C7" s="84" t="n"/>
      <c r="D7" s="84" t="n"/>
      <c r="E7" s="83" t="n"/>
      <c r="F7" s="83" t="n"/>
      <c r="G7" s="83" t="n"/>
      <c r="H7" s="83" t="n"/>
      <c r="I7" s="83" t="n"/>
      <c r="J7" s="83" t="n"/>
      <c r="K7" s="83" t="n"/>
      <c r="L7" s="83" t="n"/>
      <c r="M7" s="83" t="n"/>
      <c r="N7" s="83" t="n"/>
      <c r="O7" s="83" t="n"/>
      <c r="P7" s="83" t="n"/>
      <c r="Q7" s="83" t="n"/>
      <c r="R7" s="83" t="n"/>
      <c r="S7" s="83" t="n"/>
    </row>
    <row r="8" ht="15.75" customHeight="1" s="172">
      <c r="A8" s="190" t="inlineStr">
        <is>
          <t>P2</t>
        </is>
      </c>
      <c r="B8" s="170" t="n"/>
      <c r="C8" s="170" t="n"/>
      <c r="D8" s="170" t="n"/>
      <c r="E8" s="170" t="n"/>
      <c r="F8" s="170" t="n"/>
      <c r="G8" s="170" t="n"/>
      <c r="H8" s="170" t="n"/>
      <c r="I8" s="170" t="n"/>
      <c r="J8" s="170" t="n"/>
      <c r="K8" s="170" t="n"/>
      <c r="L8" s="170" t="n"/>
      <c r="M8" s="170" t="n"/>
      <c r="N8" s="170" t="n"/>
      <c r="O8" s="170" t="n"/>
      <c r="P8" s="170" t="n"/>
      <c r="Q8" s="170" t="n"/>
      <c r="R8" s="170" t="n"/>
      <c r="S8" s="179" t="n"/>
    </row>
    <row r="9" ht="12.75" customHeight="1" s="172">
      <c r="A9" s="81" t="n"/>
      <c r="B9" s="81" t="inlineStr">
        <is>
          <t>VA</t>
        </is>
      </c>
      <c r="C9" s="81" t="inlineStr">
        <is>
          <t>CCCS 9-12</t>
        </is>
      </c>
      <c r="D9" s="81" t="inlineStr">
        <is>
          <t>CCCS TK-8</t>
        </is>
      </c>
      <c r="E9" s="81" t="inlineStr">
        <is>
          <t>CCCS TK-12</t>
        </is>
      </c>
      <c r="F9" s="81" t="inlineStr">
        <is>
          <t>COA Elem</t>
        </is>
      </c>
      <c r="G9" s="81" t="inlineStr">
        <is>
          <t>COA MID</t>
        </is>
      </c>
      <c r="H9" s="81" t="inlineStr">
        <is>
          <t>COA</t>
        </is>
      </c>
      <c r="I9" s="81" t="inlineStr">
        <is>
          <t>EPIC</t>
        </is>
      </c>
      <c r="J9" s="81" t="inlineStr">
        <is>
          <t>HLA</t>
        </is>
      </c>
      <c r="K9" s="81" t="inlineStr">
        <is>
          <t>GIS TK-5</t>
        </is>
      </c>
      <c r="L9" s="81" t="inlineStr">
        <is>
          <t>GIS 6-8</t>
        </is>
      </c>
      <c r="M9" s="81" t="inlineStr">
        <is>
          <t>GIS TK-8</t>
        </is>
      </c>
      <c r="N9" s="81" t="inlineStr">
        <is>
          <t>SAVA TR</t>
        </is>
      </c>
      <c r="O9" s="81" t="inlineStr">
        <is>
          <t>SAVA EGUSD</t>
        </is>
      </c>
      <c r="P9" s="81" t="inlineStr">
        <is>
          <t>SAVA SIM</t>
        </is>
      </c>
      <c r="Q9" s="81" t="inlineStr">
        <is>
          <t>SAVA SCUSD</t>
        </is>
      </c>
      <c r="R9" s="81" t="inlineStr">
        <is>
          <t>SAVA SCUSD + SIM</t>
        </is>
      </c>
      <c r="S9" s="81" t="inlineStr">
        <is>
          <t xml:space="preserve">Futures </t>
        </is>
      </c>
    </row>
    <row r="10" ht="12.75" customHeight="1" s="172">
      <c r="A10" s="82" t="inlineStr">
        <is>
          <t>Grades TK Only</t>
        </is>
      </c>
      <c r="B10" s="83" t="n"/>
      <c r="C10" s="83" t="n"/>
      <c r="D10" s="83" t="n"/>
      <c r="E10" s="83" t="n"/>
      <c r="F10" s="82" t="n"/>
      <c r="G10" s="82" t="n"/>
      <c r="H10" s="83" t="n"/>
      <c r="I10" s="83" t="n"/>
      <c r="J10" s="83" t="n"/>
      <c r="K10" s="82" t="n"/>
      <c r="L10" s="82" t="n"/>
      <c r="M10" s="83" t="n"/>
      <c r="N10" s="83" t="n"/>
      <c r="O10" s="82" t="n"/>
      <c r="P10" s="82" t="n"/>
      <c r="Q10" s="82" t="n"/>
      <c r="R10" s="82" t="n"/>
      <c r="S10" s="82" t="n"/>
    </row>
    <row r="11" ht="25.5" customHeight="1" s="172">
      <c r="A11" s="82" t="inlineStr">
        <is>
          <t>Grades TL/Kindergarten through Three</t>
        </is>
      </c>
      <c r="B11" s="83" t="n"/>
      <c r="C11" s="83" t="n"/>
      <c r="D11" s="83" t="n"/>
      <c r="E11" s="83" t="n"/>
      <c r="F11" s="82" t="n"/>
      <c r="G11" s="82" t="n"/>
      <c r="H11" s="83" t="n"/>
      <c r="I11" s="83" t="n"/>
      <c r="J11" s="83" t="n"/>
      <c r="K11" s="82" t="n"/>
      <c r="L11" s="82" t="n"/>
      <c r="M11" s="83" t="n"/>
      <c r="N11" s="83" t="n"/>
      <c r="O11" s="82" t="n"/>
      <c r="P11" s="82" t="n"/>
      <c r="Q11" s="82" t="n"/>
      <c r="R11" s="82" t="n"/>
      <c r="S11" s="82" t="n"/>
    </row>
    <row r="12" ht="12.75" customHeight="1" s="172">
      <c r="A12" s="82" t="inlineStr">
        <is>
          <t>Grades Four though Six</t>
        </is>
      </c>
      <c r="B12" s="83" t="n"/>
      <c r="C12" s="83" t="n"/>
      <c r="D12" s="83" t="n"/>
      <c r="E12" s="83" t="n"/>
      <c r="F12" s="82" t="n"/>
      <c r="G12" s="82" t="n"/>
      <c r="H12" s="83" t="n"/>
      <c r="I12" s="83" t="n"/>
      <c r="J12" s="83" t="n"/>
      <c r="K12" s="82" t="n"/>
      <c r="L12" s="82" t="n"/>
      <c r="M12" s="83" t="n"/>
      <c r="N12" s="83" t="n"/>
      <c r="O12" s="82" t="n"/>
      <c r="P12" s="82" t="n"/>
      <c r="Q12" s="82" t="n"/>
      <c r="R12" s="82" t="n"/>
      <c r="S12" s="82" t="n"/>
    </row>
    <row r="13" ht="25.5" customHeight="1" s="172">
      <c r="A13" s="82" t="inlineStr">
        <is>
          <t>Grades Seven through Eight</t>
        </is>
      </c>
      <c r="B13" s="83" t="n"/>
      <c r="C13" s="83" t="n"/>
      <c r="D13" s="83" t="n"/>
      <c r="E13" s="83" t="n"/>
      <c r="F13" s="82" t="n"/>
      <c r="G13" s="82" t="n"/>
      <c r="H13" s="83" t="n"/>
      <c r="I13" s="83" t="n"/>
      <c r="J13" s="83" t="n"/>
      <c r="K13" s="82" t="n"/>
      <c r="L13" s="82" t="n"/>
      <c r="M13" s="83" t="n"/>
      <c r="N13" s="83" t="n"/>
      <c r="O13" s="83" t="n"/>
      <c r="P13" s="82" t="n"/>
      <c r="Q13" s="82" t="n"/>
      <c r="R13" s="83" t="n"/>
      <c r="S13" s="82" t="n"/>
    </row>
    <row r="14" ht="12.75" customHeight="1" s="172">
      <c r="A14" s="82" t="inlineStr">
        <is>
          <t>Grades Nine through Twelve</t>
        </is>
      </c>
      <c r="B14" s="83" t="n"/>
      <c r="C14" s="83" t="n"/>
      <c r="D14" s="83" t="n"/>
      <c r="E14" s="83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83" t="n"/>
      <c r="O14" s="83" t="n"/>
      <c r="P14" s="82" t="n"/>
      <c r="Q14" s="82" t="n"/>
      <c r="R14" s="83" t="n"/>
      <c r="S14" s="83" t="n"/>
    </row>
    <row r="15" ht="12.75" customHeight="1" s="172">
      <c r="A15" s="82" t="inlineStr">
        <is>
          <t>Actual Total</t>
        </is>
      </c>
      <c r="B15" s="84" t="n"/>
      <c r="C15" s="84" t="n"/>
      <c r="D15" s="84" t="n"/>
      <c r="E15" s="83" t="n"/>
      <c r="F15" s="83" t="n"/>
      <c r="G15" s="83" t="n"/>
      <c r="H15" s="83" t="n"/>
      <c r="I15" s="83" t="n"/>
      <c r="J15" s="83" t="n"/>
      <c r="K15" s="83" t="n"/>
      <c r="L15" s="83" t="n"/>
      <c r="M15" s="83" t="n"/>
      <c r="N15" s="83" t="n"/>
      <c r="O15" s="83" t="n"/>
      <c r="P15" s="83" t="n"/>
      <c r="Q15" s="83" t="n"/>
      <c r="R15" s="83" t="n"/>
      <c r="S15" s="83" t="n"/>
    </row>
    <row r="16" ht="15.75" customHeight="1" s="172">
      <c r="A16" s="190" t="inlineStr">
        <is>
          <t>P2 Revisions</t>
        </is>
      </c>
      <c r="B16" s="170" t="n"/>
      <c r="C16" s="170" t="n"/>
      <c r="D16" s="170" t="n"/>
      <c r="E16" s="170" t="n"/>
      <c r="F16" s="170" t="n"/>
      <c r="G16" s="170" t="n"/>
      <c r="H16" s="170" t="n"/>
      <c r="I16" s="170" t="n"/>
      <c r="J16" s="170" t="n"/>
      <c r="K16" s="170" t="n"/>
      <c r="L16" s="170" t="n"/>
      <c r="M16" s="170" t="n"/>
      <c r="N16" s="170" t="n"/>
      <c r="O16" s="170" t="n"/>
      <c r="P16" s="170" t="n"/>
      <c r="Q16" s="170" t="n"/>
      <c r="R16" s="170" t="n"/>
      <c r="S16" s="179" t="n"/>
    </row>
    <row r="17" ht="12.75" customHeight="1" s="172">
      <c r="A17" s="81" t="n"/>
      <c r="B17" s="81" t="inlineStr">
        <is>
          <t>VA</t>
        </is>
      </c>
      <c r="C17" s="81" t="inlineStr">
        <is>
          <t>CCCS 9-12</t>
        </is>
      </c>
      <c r="D17" s="81" t="inlineStr">
        <is>
          <t>CCCS TK-8</t>
        </is>
      </c>
      <c r="E17" s="81" t="inlineStr">
        <is>
          <t>CCCS TK-12</t>
        </is>
      </c>
      <c r="F17" s="81" t="inlineStr">
        <is>
          <t>COA Elem</t>
        </is>
      </c>
      <c r="G17" s="81" t="inlineStr">
        <is>
          <t>COA MID</t>
        </is>
      </c>
      <c r="H17" s="81" t="inlineStr">
        <is>
          <t>COA</t>
        </is>
      </c>
      <c r="I17" s="81" t="inlineStr">
        <is>
          <t>EPIC</t>
        </is>
      </c>
      <c r="J17" s="81" t="inlineStr">
        <is>
          <t>HLA</t>
        </is>
      </c>
      <c r="K17" s="81" t="inlineStr">
        <is>
          <t>GIS TK-5</t>
        </is>
      </c>
      <c r="L17" s="81" t="inlineStr">
        <is>
          <t>GIS 6-8</t>
        </is>
      </c>
      <c r="M17" s="81" t="inlineStr">
        <is>
          <t>GIS TK-8</t>
        </is>
      </c>
      <c r="N17" s="81" t="inlineStr">
        <is>
          <t>SAVA TR</t>
        </is>
      </c>
      <c r="O17" s="81" t="inlineStr">
        <is>
          <t>SAVA EGUSD</t>
        </is>
      </c>
      <c r="P17" s="81" t="inlineStr">
        <is>
          <t>SAVA SIM</t>
        </is>
      </c>
      <c r="Q17" s="81" t="inlineStr">
        <is>
          <t>SAVA SCUSD</t>
        </is>
      </c>
      <c r="R17" s="81" t="inlineStr">
        <is>
          <t>SAVA SCUSD + SIM</t>
        </is>
      </c>
      <c r="S17" s="81" t="inlineStr">
        <is>
          <t xml:space="preserve">Futures </t>
        </is>
      </c>
    </row>
    <row r="18" ht="12.75" customHeight="1" s="172">
      <c r="A18" s="82" t="inlineStr">
        <is>
          <t>Grades TK Only</t>
        </is>
      </c>
      <c r="B18" s="83" t="n"/>
      <c r="C18" s="83" t="n"/>
      <c r="D18" s="83" t="n"/>
      <c r="E18" s="82" t="n"/>
      <c r="F18" s="82" t="n"/>
      <c r="G18" s="82" t="n"/>
      <c r="H18" s="83" t="n"/>
      <c r="I18" s="82" t="n"/>
      <c r="J18" s="82" t="n"/>
      <c r="K18" s="82" t="n"/>
      <c r="L18" s="82" t="n"/>
      <c r="M18" s="84" t="n"/>
      <c r="N18" s="82" t="n"/>
      <c r="O18" s="82" t="n"/>
      <c r="P18" s="82" t="n"/>
      <c r="Q18" s="82" t="n"/>
      <c r="R18" s="84" t="n"/>
      <c r="S18" s="82" t="n"/>
    </row>
    <row r="19" ht="25.5" customHeight="1" s="172">
      <c r="A19" s="82" t="inlineStr">
        <is>
          <t>Grades TL/Kindergarten through Three</t>
        </is>
      </c>
      <c r="B19" s="83" t="n"/>
      <c r="C19" s="83" t="n"/>
      <c r="D19" s="83" t="n"/>
      <c r="E19" s="82" t="n"/>
      <c r="F19" s="82" t="n"/>
      <c r="G19" s="82" t="n"/>
      <c r="H19" s="83" t="n"/>
      <c r="I19" s="82" t="n"/>
      <c r="J19" s="82" t="n"/>
      <c r="K19" s="82" t="n"/>
      <c r="L19" s="82" t="n"/>
      <c r="M19" s="84" t="n"/>
      <c r="N19" s="82" t="n"/>
      <c r="O19" s="82" t="n"/>
      <c r="P19" s="82" t="n"/>
      <c r="Q19" s="82" t="n"/>
      <c r="R19" s="84" t="n"/>
      <c r="S19" s="82" t="n"/>
    </row>
    <row r="20" ht="12.75" customHeight="1" s="172">
      <c r="A20" s="82" t="inlineStr">
        <is>
          <t>Grades Four though Six</t>
        </is>
      </c>
      <c r="B20" s="83" t="n"/>
      <c r="C20" s="83" t="n"/>
      <c r="D20" s="83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4" t="n"/>
      <c r="N20" s="82" t="n"/>
      <c r="O20" s="82" t="n"/>
      <c r="P20" s="82" t="n"/>
      <c r="Q20" s="82" t="n"/>
      <c r="R20" s="84" t="n"/>
      <c r="S20" s="82" t="n"/>
    </row>
    <row r="21" ht="25.5" customHeight="1" s="172">
      <c r="A21" s="82" t="inlineStr">
        <is>
          <t>Grades Seven through Eight</t>
        </is>
      </c>
      <c r="B21" s="83" t="n"/>
      <c r="C21" s="83" t="n"/>
      <c r="D21" s="83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4" t="n"/>
      <c r="N21" s="82" t="n"/>
      <c r="O21" s="83" t="n"/>
      <c r="P21" s="82" t="n"/>
      <c r="Q21" s="82" t="n"/>
      <c r="R21" s="84" t="n"/>
      <c r="S21" s="82" t="n"/>
    </row>
    <row r="22" ht="12.75" customHeight="1" s="172">
      <c r="A22" s="82" t="inlineStr">
        <is>
          <t>Grades Nine through Twelve</t>
        </is>
      </c>
      <c r="B22" s="83" t="n"/>
      <c r="C22" s="83" t="n"/>
      <c r="D22" s="83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4" t="n"/>
      <c r="N22" s="82" t="n"/>
      <c r="O22" s="83" t="n"/>
      <c r="P22" s="82" t="n"/>
      <c r="Q22" s="82" t="n"/>
      <c r="R22" s="84" t="n"/>
      <c r="S22" s="82" t="n"/>
    </row>
    <row r="23" ht="12.75" customHeight="1" s="172">
      <c r="A23" s="82" t="inlineStr">
        <is>
          <t>Actual Total</t>
        </is>
      </c>
      <c r="B23" s="84" t="n"/>
      <c r="C23" s="84" t="n"/>
      <c r="D23" s="84" t="n"/>
      <c r="E23" s="84" t="n"/>
      <c r="F23" s="82" t="n"/>
      <c r="G23" s="82" t="n"/>
      <c r="H23" s="85" t="n"/>
      <c r="I23" s="83" t="n"/>
      <c r="J23" s="83" t="n"/>
      <c r="K23" s="82" t="n"/>
      <c r="L23" s="82" t="n"/>
      <c r="M23" s="84" t="n"/>
      <c r="N23" s="83" t="n"/>
      <c r="O23" s="83" t="n"/>
      <c r="P23" s="82" t="n"/>
      <c r="Q23" s="82" t="n"/>
      <c r="R23" s="84" t="n"/>
      <c r="S23" s="83" t="n"/>
    </row>
    <row r="24" ht="12.75" customHeight="1" s="172">
      <c r="A24" s="86" t="inlineStr">
        <is>
          <t>Variances</t>
        </is>
      </c>
      <c r="B24" s="87" t="n"/>
      <c r="C24" s="87" t="n"/>
      <c r="D24" s="87" t="n"/>
      <c r="E24" s="88" t="n"/>
      <c r="F24" s="89" t="n"/>
      <c r="G24" s="89" t="n"/>
      <c r="H24" s="89" t="n"/>
      <c r="I24" s="88" t="n"/>
      <c r="J24" s="88" t="n"/>
      <c r="K24" s="89" t="n"/>
      <c r="L24" s="89" t="n"/>
      <c r="M24" s="88" t="n"/>
      <c r="N24" s="88" t="n"/>
      <c r="O24" s="88" t="n"/>
      <c r="P24" s="89" t="n"/>
      <c r="Q24" s="89" t="n"/>
      <c r="R24" s="88" t="n"/>
      <c r="S24" s="88" t="n"/>
    </row>
    <row r="25" ht="15.75" customHeight="1" s="172">
      <c r="A25" s="189" t="inlineStr">
        <is>
          <t xml:space="preserve">P3 </t>
        </is>
      </c>
      <c r="B25" s="170" t="n"/>
      <c r="C25" s="170" t="n"/>
      <c r="D25" s="170" t="n"/>
      <c r="E25" s="170" t="n"/>
      <c r="F25" s="170" t="n"/>
      <c r="G25" s="170" t="n"/>
      <c r="H25" s="170" t="n"/>
      <c r="I25" s="170" t="n"/>
      <c r="J25" s="170" t="n"/>
      <c r="K25" s="170" t="n"/>
      <c r="L25" s="170" t="n"/>
      <c r="M25" s="170" t="n"/>
      <c r="N25" s="170" t="n"/>
      <c r="O25" s="170" t="n"/>
      <c r="P25" s="170" t="n"/>
      <c r="Q25" s="170" t="n"/>
      <c r="R25" s="170" t="n"/>
      <c r="S25" s="179" t="n"/>
    </row>
    <row r="26" ht="12.75" customHeight="1" s="172">
      <c r="A26" s="81" t="n"/>
      <c r="B26" s="81" t="inlineStr">
        <is>
          <t>VA</t>
        </is>
      </c>
      <c r="C26" s="81" t="inlineStr">
        <is>
          <t>CCCS 9-12</t>
        </is>
      </c>
      <c r="D26" s="81" t="inlineStr">
        <is>
          <t>CCCS TK-8</t>
        </is>
      </c>
      <c r="E26" s="81" t="inlineStr">
        <is>
          <t>CCCS TK-12</t>
        </is>
      </c>
      <c r="F26" s="81" t="inlineStr">
        <is>
          <t>COA Elem</t>
        </is>
      </c>
      <c r="G26" s="81" t="inlineStr">
        <is>
          <t>COA MID</t>
        </is>
      </c>
      <c r="H26" s="81" t="inlineStr">
        <is>
          <t>COA</t>
        </is>
      </c>
      <c r="I26" s="81" t="inlineStr">
        <is>
          <t>EPIC</t>
        </is>
      </c>
      <c r="J26" s="81" t="inlineStr">
        <is>
          <t>HLA</t>
        </is>
      </c>
      <c r="K26" s="81" t="inlineStr">
        <is>
          <t>GIS TK-5</t>
        </is>
      </c>
      <c r="L26" s="81" t="inlineStr">
        <is>
          <t>GIS 6-8</t>
        </is>
      </c>
      <c r="M26" s="81" t="inlineStr">
        <is>
          <t>GIS TK-8</t>
        </is>
      </c>
      <c r="N26" s="81" t="inlineStr">
        <is>
          <t>SAVA TR</t>
        </is>
      </c>
      <c r="O26" s="81" t="inlineStr">
        <is>
          <t>SAVA EGUSD</t>
        </is>
      </c>
      <c r="P26" s="81" t="inlineStr">
        <is>
          <t>SAVA SIM</t>
        </is>
      </c>
      <c r="Q26" s="81" t="inlineStr">
        <is>
          <t>SAVA SCUSD</t>
        </is>
      </c>
      <c r="R26" s="81" t="inlineStr">
        <is>
          <t>SAVA SCUSD + SIM</t>
        </is>
      </c>
      <c r="S26" s="81" t="inlineStr">
        <is>
          <t xml:space="preserve">Futures </t>
        </is>
      </c>
    </row>
    <row r="27" ht="12.75" customHeight="1" s="172">
      <c r="A27" s="82" t="inlineStr">
        <is>
          <t>Grades TK Only</t>
        </is>
      </c>
      <c r="B27" s="83" t="n"/>
      <c r="C27" s="83" t="n"/>
      <c r="D27" s="83" t="n"/>
      <c r="E27" s="84" t="n"/>
      <c r="F27" s="82" t="n"/>
      <c r="G27" s="82" t="n"/>
      <c r="H27" s="84" t="n"/>
      <c r="I27" s="84" t="n"/>
      <c r="J27" s="84" t="n"/>
      <c r="K27" s="82" t="n"/>
      <c r="L27" s="82" t="n"/>
      <c r="M27" s="84" t="n"/>
      <c r="N27" s="83" t="n"/>
      <c r="O27" s="84" t="n"/>
      <c r="P27" s="82" t="n"/>
      <c r="Q27" s="82" t="n"/>
      <c r="R27" s="84" t="n"/>
      <c r="S27" s="83" t="n"/>
    </row>
    <row r="28" ht="25.5" customHeight="1" s="172">
      <c r="A28" s="82" t="inlineStr">
        <is>
          <t>Grades TL/Kindergarten through Three</t>
        </is>
      </c>
      <c r="B28" s="83" t="n"/>
      <c r="C28" s="83" t="n"/>
      <c r="D28" s="83" t="n"/>
      <c r="E28" s="84" t="n"/>
      <c r="F28" s="82" t="n"/>
      <c r="G28" s="82" t="n"/>
      <c r="H28" s="84" t="n"/>
      <c r="I28" s="84" t="n"/>
      <c r="J28" s="84" t="n"/>
      <c r="K28" s="82" t="n"/>
      <c r="L28" s="82" t="n"/>
      <c r="M28" s="84" t="n"/>
      <c r="N28" s="83" t="n"/>
      <c r="O28" s="84" t="n"/>
      <c r="P28" s="82" t="n"/>
      <c r="Q28" s="82" t="n"/>
      <c r="R28" s="84" t="n"/>
      <c r="S28" s="83" t="n"/>
    </row>
    <row r="29" ht="12.75" customHeight="1" s="172">
      <c r="A29" s="82" t="inlineStr">
        <is>
          <t>Grades Four though Six</t>
        </is>
      </c>
      <c r="B29" s="83" t="n"/>
      <c r="C29" s="83" t="n"/>
      <c r="D29" s="83" t="n"/>
      <c r="E29" s="84" t="n"/>
      <c r="F29" s="82" t="n"/>
      <c r="G29" s="82" t="n"/>
      <c r="H29" s="84" t="n"/>
      <c r="I29" s="84" t="n"/>
      <c r="J29" s="84" t="n"/>
      <c r="K29" s="82" t="n"/>
      <c r="L29" s="82" t="n"/>
      <c r="M29" s="84" t="n"/>
      <c r="N29" s="83" t="n"/>
      <c r="O29" s="84" t="n"/>
      <c r="P29" s="82" t="n"/>
      <c r="Q29" s="82" t="n"/>
      <c r="R29" s="84" t="n"/>
      <c r="S29" s="83" t="n"/>
    </row>
    <row r="30" ht="25.5" customHeight="1" s="172">
      <c r="A30" s="82" t="inlineStr">
        <is>
          <t>Grades Seven through Eight</t>
        </is>
      </c>
      <c r="B30" s="83" t="n"/>
      <c r="C30" s="83" t="n"/>
      <c r="D30" s="83" t="n"/>
      <c r="E30" s="84" t="n"/>
      <c r="F30" s="82" t="n"/>
      <c r="G30" s="82" t="n"/>
      <c r="H30" s="85" t="n"/>
      <c r="I30" s="84" t="n"/>
      <c r="J30" s="84" t="n"/>
      <c r="K30" s="82" t="n"/>
      <c r="L30" s="82" t="n"/>
      <c r="M30" s="84" t="n"/>
      <c r="N30" s="83" t="n"/>
      <c r="O30" s="84" t="n"/>
      <c r="P30" s="82" t="n"/>
      <c r="Q30" s="82" t="n"/>
      <c r="R30" s="84" t="n"/>
      <c r="S30" s="83" t="n"/>
    </row>
    <row r="31" ht="12.75" customHeight="1" s="172">
      <c r="A31" s="82" t="inlineStr">
        <is>
          <t>Grades Nine through Twelve</t>
        </is>
      </c>
      <c r="B31" s="83" t="n"/>
      <c r="C31" s="83" t="n"/>
      <c r="D31" s="83" t="n"/>
      <c r="E31" s="84" t="n"/>
      <c r="F31" s="82" t="n"/>
      <c r="G31" s="82" t="n"/>
      <c r="H31" s="85" t="n"/>
      <c r="I31" s="84" t="n"/>
      <c r="J31" s="84" t="n"/>
      <c r="K31" s="82" t="n"/>
      <c r="L31" s="82" t="n"/>
      <c r="M31" s="84" t="n"/>
      <c r="N31" s="83" t="n"/>
      <c r="O31" s="84" t="n"/>
      <c r="P31" s="82" t="n"/>
      <c r="Q31" s="82" t="n"/>
      <c r="R31" s="84" t="n"/>
      <c r="S31" s="83" t="n"/>
    </row>
    <row r="32" ht="12.75" customHeight="1" s="172">
      <c r="A32" s="82" t="inlineStr">
        <is>
          <t>Actual Total</t>
        </is>
      </c>
      <c r="B32" s="84" t="n"/>
      <c r="C32" s="84" t="n"/>
      <c r="D32" s="84" t="n"/>
      <c r="E32" s="84" t="n"/>
      <c r="F32" s="82" t="n"/>
      <c r="G32" s="82" t="n"/>
      <c r="H32" s="84" t="n"/>
      <c r="I32" s="84" t="n"/>
      <c r="J32" s="84" t="n"/>
      <c r="K32" s="82" t="n"/>
      <c r="L32" s="82" t="n"/>
      <c r="M32" s="84" t="n"/>
      <c r="N32" s="83" t="n"/>
      <c r="O32" s="84" t="n"/>
      <c r="P32" s="82" t="n"/>
      <c r="Q32" s="82" t="n"/>
      <c r="R32" s="84" t="n"/>
      <c r="S32" s="83" t="n"/>
    </row>
  </sheetData>
  <mergeCells count="4">
    <mergeCell ref="A25:S25"/>
    <mergeCell ref="A8:S8"/>
    <mergeCell ref="A16:S16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2025-10-09T20:34:38Z</dcterms:created>
  <dcterms:modified xsi:type="dcterms:W3CDTF">2025-11-05T17:38:22Z</dcterms:modified>
  <cp:lastModifiedBy>shawn dean</cp:lastModifiedBy>
</cp:coreProperties>
</file>